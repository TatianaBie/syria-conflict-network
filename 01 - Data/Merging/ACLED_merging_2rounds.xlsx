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tatianabielakova/Desktop/KOF/RA - Tatiana/01 - Data/Merging/"/>
    </mc:Choice>
  </mc:AlternateContent>
  <xr:revisionPtr revIDLastSave="0" documentId="13_ncr:1_{50F50D1A-07C0-4B41-A242-2F71C84BFA79}" xr6:coauthVersionLast="47" xr6:coauthVersionMax="47" xr10:uidLastSave="{00000000-0000-0000-0000-000000000000}"/>
  <bookViews>
    <workbookView xWindow="4440" yWindow="760" windowWidth="24960" windowHeight="17260" firstSheet="1" activeTab="1" xr2:uid="{087C02EF-A245-014B-A433-FCEC18176847}"/>
  </bookViews>
  <sheets>
    <sheet name="Original" sheetId="3" r:id="rId1"/>
    <sheet name="Merging2_New" sheetId="6" r:id="rId2"/>
    <sheet name="Merging2" sheetId="2" r:id="rId3"/>
    <sheet name="Merging2_backup" sheetId="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5" l="1"/>
  <c r="D29" i="5"/>
  <c r="D41" i="5"/>
  <c r="D42" i="5"/>
  <c r="D43" i="5"/>
  <c r="D66" i="5"/>
  <c r="D70" i="5"/>
  <c r="D71" i="5"/>
  <c r="D75" i="5"/>
  <c r="D81" i="5"/>
  <c r="D85" i="5"/>
  <c r="D92" i="5"/>
  <c r="C2" i="5"/>
  <c r="D2" i="5" s="1"/>
  <c r="C395" i="5"/>
  <c r="D395" i="5" s="1"/>
  <c r="C394" i="5"/>
  <c r="D394" i="5" s="1"/>
  <c r="C91" i="5"/>
  <c r="D91" i="5" s="1"/>
  <c r="C93" i="5"/>
  <c r="D93" i="5" s="1"/>
  <c r="C189" i="5"/>
  <c r="D189" i="5" s="1"/>
  <c r="C190" i="5"/>
  <c r="D190" i="5" s="1"/>
  <c r="C191" i="5"/>
  <c r="D191" i="5" s="1"/>
  <c r="C192" i="5"/>
  <c r="D192" i="5" s="1"/>
  <c r="C193" i="5"/>
  <c r="D193" i="5" s="1"/>
  <c r="C194" i="5"/>
  <c r="D194" i="5" s="1"/>
  <c r="C195" i="5"/>
  <c r="D195" i="5" s="1"/>
  <c r="C196" i="5"/>
  <c r="D196" i="5" s="1"/>
  <c r="C197" i="5"/>
  <c r="D197" i="5" s="1"/>
  <c r="C198" i="5"/>
  <c r="D198" i="5" s="1"/>
  <c r="C199" i="5"/>
  <c r="D199" i="5" s="1"/>
  <c r="C200" i="5"/>
  <c r="D200" i="5" s="1"/>
  <c r="C201" i="5"/>
  <c r="D201" i="5" s="1"/>
  <c r="C202" i="5"/>
  <c r="D202" i="5" s="1"/>
  <c r="C203" i="5"/>
  <c r="D203" i="5" s="1"/>
  <c r="C204" i="5"/>
  <c r="D204" i="5" s="1"/>
  <c r="C205" i="5"/>
  <c r="D205" i="5" s="1"/>
  <c r="C206" i="5"/>
  <c r="D206" i="5" s="1"/>
  <c r="C207" i="5"/>
  <c r="D207" i="5" s="1"/>
  <c r="C208" i="5"/>
  <c r="D208" i="5" s="1"/>
  <c r="C209" i="5"/>
  <c r="D209" i="5" s="1"/>
  <c r="C210" i="5"/>
  <c r="D210" i="5" s="1"/>
  <c r="C211" i="5"/>
  <c r="D211" i="5" s="1"/>
  <c r="C212" i="5"/>
  <c r="D212" i="5" s="1"/>
  <c r="C213" i="5"/>
  <c r="D213" i="5" s="1"/>
  <c r="C214" i="5"/>
  <c r="D214" i="5" s="1"/>
  <c r="C215" i="5"/>
  <c r="D215" i="5" s="1"/>
  <c r="C216" i="5"/>
  <c r="D216" i="5" s="1"/>
  <c r="C217" i="5"/>
  <c r="D217" i="5" s="1"/>
  <c r="C218" i="5"/>
  <c r="D218" i="5" s="1"/>
  <c r="C219" i="5"/>
  <c r="D219" i="5" s="1"/>
  <c r="C220" i="5"/>
  <c r="D220" i="5" s="1"/>
  <c r="C221" i="5"/>
  <c r="D221" i="5" s="1"/>
  <c r="C222" i="5"/>
  <c r="D222" i="5" s="1"/>
  <c r="C223" i="5"/>
  <c r="D223" i="5" s="1"/>
  <c r="C224" i="5"/>
  <c r="D224" i="5" s="1"/>
  <c r="C225" i="5"/>
  <c r="D225" i="5" s="1"/>
  <c r="C226" i="5"/>
  <c r="D226" i="5" s="1"/>
  <c r="C227" i="5"/>
  <c r="D227" i="5" s="1"/>
  <c r="C228" i="5"/>
  <c r="D228" i="5" s="1"/>
  <c r="C229" i="5"/>
  <c r="D229" i="5" s="1"/>
  <c r="C230" i="5"/>
  <c r="D230" i="5" s="1"/>
  <c r="C231" i="5"/>
  <c r="D231" i="5" s="1"/>
  <c r="C232" i="5"/>
  <c r="D232" i="5" s="1"/>
  <c r="C233" i="5"/>
  <c r="D233" i="5" s="1"/>
  <c r="C234" i="5"/>
  <c r="D234" i="5" s="1"/>
  <c r="C235" i="5"/>
  <c r="D235" i="5" s="1"/>
  <c r="C236" i="5"/>
  <c r="D236" i="5" s="1"/>
  <c r="C237" i="5"/>
  <c r="D237" i="5" s="1"/>
  <c r="C238" i="5"/>
  <c r="D238" i="5" s="1"/>
  <c r="C239" i="5"/>
  <c r="D239" i="5" s="1"/>
  <c r="C240" i="5"/>
  <c r="D240" i="5" s="1"/>
  <c r="C241" i="5"/>
  <c r="D241" i="5" s="1"/>
  <c r="C242" i="5"/>
  <c r="D242" i="5" s="1"/>
  <c r="C243" i="5"/>
  <c r="D243" i="5" s="1"/>
  <c r="C244" i="5"/>
  <c r="D244" i="5" s="1"/>
  <c r="C245" i="5"/>
  <c r="D245" i="5" s="1"/>
  <c r="C246" i="5"/>
  <c r="D246" i="5" s="1"/>
  <c r="C247" i="5"/>
  <c r="D247" i="5" s="1"/>
  <c r="C248" i="5"/>
  <c r="D248" i="5" s="1"/>
  <c r="C249" i="5"/>
  <c r="D249" i="5" s="1"/>
  <c r="C250" i="5"/>
  <c r="D250" i="5" s="1"/>
  <c r="C251" i="5"/>
  <c r="D251" i="5" s="1"/>
  <c r="C252" i="5"/>
  <c r="D252" i="5" s="1"/>
  <c r="C253" i="5"/>
  <c r="D253" i="5" s="1"/>
  <c r="C254" i="5"/>
  <c r="D254" i="5" s="1"/>
  <c r="C255" i="5"/>
  <c r="D255" i="5" s="1"/>
  <c r="C256" i="5"/>
  <c r="D256" i="5" s="1"/>
  <c r="C257" i="5"/>
  <c r="D257" i="5" s="1"/>
  <c r="C258" i="5"/>
  <c r="D258" i="5" s="1"/>
  <c r="C259" i="5"/>
  <c r="D259" i="5" s="1"/>
  <c r="C260" i="5"/>
  <c r="D260" i="5" s="1"/>
  <c r="C261" i="5"/>
  <c r="D261" i="5" s="1"/>
  <c r="C262" i="5"/>
  <c r="D262" i="5" s="1"/>
  <c r="C263" i="5"/>
  <c r="D263" i="5" s="1"/>
  <c r="C264" i="5"/>
  <c r="D264" i="5" s="1"/>
  <c r="C265" i="5"/>
  <c r="D265" i="5" s="1"/>
  <c r="C266" i="5"/>
  <c r="D266" i="5" s="1"/>
  <c r="C267" i="5"/>
  <c r="D267" i="5" s="1"/>
  <c r="C268" i="5"/>
  <c r="D268" i="5" s="1"/>
  <c r="C269" i="5"/>
  <c r="D269" i="5" s="1"/>
  <c r="C270" i="5"/>
  <c r="D270" i="5" s="1"/>
  <c r="C271" i="5"/>
  <c r="D271" i="5" s="1"/>
  <c r="C272" i="5"/>
  <c r="D272" i="5" s="1"/>
  <c r="C273" i="5"/>
  <c r="D273" i="5" s="1"/>
  <c r="C274" i="5"/>
  <c r="D274" i="5" s="1"/>
  <c r="C275" i="5"/>
  <c r="D275" i="5" s="1"/>
  <c r="C276" i="5"/>
  <c r="D276" i="5" s="1"/>
  <c r="C277" i="5"/>
  <c r="D277" i="5" s="1"/>
  <c r="C278" i="5"/>
  <c r="D278" i="5" s="1"/>
  <c r="C279" i="5"/>
  <c r="D279" i="5" s="1"/>
  <c r="C280" i="5"/>
  <c r="D280" i="5" s="1"/>
  <c r="C281" i="5"/>
  <c r="D281" i="5" s="1"/>
  <c r="C282" i="5"/>
  <c r="D282" i="5" s="1"/>
  <c r="C283" i="5"/>
  <c r="D283" i="5" s="1"/>
  <c r="C284" i="5"/>
  <c r="D284" i="5" s="1"/>
  <c r="C285" i="5"/>
  <c r="D285" i="5" s="1"/>
  <c r="C286" i="5"/>
  <c r="D286" i="5" s="1"/>
  <c r="C287" i="5"/>
  <c r="D287" i="5" s="1"/>
  <c r="C288" i="5"/>
  <c r="D288" i="5" s="1"/>
  <c r="C289" i="5"/>
  <c r="D289" i="5" s="1"/>
  <c r="C290" i="5"/>
  <c r="D290" i="5" s="1"/>
  <c r="C291" i="5"/>
  <c r="D291" i="5" s="1"/>
  <c r="C292" i="5"/>
  <c r="D292" i="5" s="1"/>
  <c r="C293" i="5"/>
  <c r="D293" i="5" s="1"/>
  <c r="C294" i="5"/>
  <c r="D294" i="5" s="1"/>
  <c r="C295" i="5"/>
  <c r="D295" i="5" s="1"/>
  <c r="C296" i="5"/>
  <c r="D296" i="5" s="1"/>
  <c r="C297" i="5"/>
  <c r="D297" i="5" s="1"/>
  <c r="C298" i="5"/>
  <c r="D298" i="5" s="1"/>
  <c r="C299" i="5"/>
  <c r="D299" i="5" s="1"/>
  <c r="C300" i="5"/>
  <c r="D300" i="5" s="1"/>
  <c r="C301" i="5"/>
  <c r="D301" i="5" s="1"/>
  <c r="C302" i="5"/>
  <c r="D302" i="5" s="1"/>
  <c r="C303" i="5"/>
  <c r="D303" i="5" s="1"/>
  <c r="C304" i="5"/>
  <c r="D304" i="5" s="1"/>
  <c r="C305" i="5"/>
  <c r="D305" i="5" s="1"/>
  <c r="C306" i="5"/>
  <c r="D306" i="5" s="1"/>
  <c r="C307" i="5"/>
  <c r="D307" i="5" s="1"/>
  <c r="C308" i="5"/>
  <c r="D308" i="5" s="1"/>
  <c r="C309" i="5"/>
  <c r="D309" i="5" s="1"/>
  <c r="C310" i="5"/>
  <c r="D310" i="5" s="1"/>
  <c r="C311" i="5"/>
  <c r="D311" i="5" s="1"/>
  <c r="C312" i="5"/>
  <c r="D312" i="5" s="1"/>
  <c r="C313" i="5"/>
  <c r="D313" i="5" s="1"/>
  <c r="C314" i="5"/>
  <c r="D314" i="5" s="1"/>
  <c r="C315" i="5"/>
  <c r="D315" i="5" s="1"/>
  <c r="C316" i="5"/>
  <c r="D316" i="5" s="1"/>
  <c r="C317" i="5"/>
  <c r="D317" i="5" s="1"/>
  <c r="C318" i="5"/>
  <c r="D318" i="5" s="1"/>
  <c r="C319" i="5"/>
  <c r="D319" i="5" s="1"/>
  <c r="C320" i="5"/>
  <c r="D320" i="5" s="1"/>
  <c r="C321" i="5"/>
  <c r="D321" i="5" s="1"/>
  <c r="C322" i="5"/>
  <c r="D322" i="5" s="1"/>
  <c r="C323" i="5"/>
  <c r="D323" i="5" s="1"/>
  <c r="C324" i="5"/>
  <c r="D324" i="5" s="1"/>
  <c r="C325" i="5"/>
  <c r="D325" i="5" s="1"/>
  <c r="C326" i="5"/>
  <c r="D326" i="5" s="1"/>
  <c r="C327" i="5"/>
  <c r="D327" i="5" s="1"/>
  <c r="C328" i="5"/>
  <c r="D328" i="5" s="1"/>
  <c r="C329" i="5"/>
  <c r="D329" i="5" s="1"/>
  <c r="C330" i="5"/>
  <c r="D330" i="5" s="1"/>
  <c r="C331" i="5"/>
  <c r="D331" i="5" s="1"/>
  <c r="C332" i="5"/>
  <c r="D332" i="5" s="1"/>
  <c r="C333" i="5"/>
  <c r="D333" i="5" s="1"/>
  <c r="C334" i="5"/>
  <c r="D334" i="5" s="1"/>
  <c r="C335" i="5"/>
  <c r="D335" i="5" s="1"/>
  <c r="C336" i="5"/>
  <c r="D336" i="5" s="1"/>
  <c r="C337" i="5"/>
  <c r="D337" i="5" s="1"/>
  <c r="C338" i="5"/>
  <c r="D338" i="5" s="1"/>
  <c r="C339" i="5"/>
  <c r="D339" i="5" s="1"/>
  <c r="C340" i="5"/>
  <c r="D340" i="5" s="1"/>
  <c r="C341" i="5"/>
  <c r="D341" i="5" s="1"/>
  <c r="C342" i="5"/>
  <c r="D342" i="5" s="1"/>
  <c r="C343" i="5"/>
  <c r="D343" i="5" s="1"/>
  <c r="C344" i="5"/>
  <c r="D344" i="5" s="1"/>
  <c r="C345" i="5"/>
  <c r="D345" i="5" s="1"/>
  <c r="C346" i="5"/>
  <c r="D346" i="5" s="1"/>
  <c r="C347" i="5"/>
  <c r="D347" i="5" s="1"/>
  <c r="C348" i="5"/>
  <c r="D348" i="5" s="1"/>
  <c r="C349" i="5"/>
  <c r="D349" i="5" s="1"/>
  <c r="C350" i="5"/>
  <c r="D350" i="5" s="1"/>
  <c r="C351" i="5"/>
  <c r="D351" i="5" s="1"/>
  <c r="C352" i="5"/>
  <c r="D352" i="5" s="1"/>
  <c r="C353" i="5"/>
  <c r="D353" i="5" s="1"/>
  <c r="C354" i="5"/>
  <c r="D354" i="5" s="1"/>
  <c r="C355" i="5"/>
  <c r="D355" i="5" s="1"/>
  <c r="C356" i="5"/>
  <c r="D356" i="5" s="1"/>
  <c r="C357" i="5"/>
  <c r="D357" i="5" s="1"/>
  <c r="C358" i="5"/>
  <c r="D358" i="5" s="1"/>
  <c r="C359" i="5"/>
  <c r="D359" i="5" s="1"/>
  <c r="C360" i="5"/>
  <c r="D360" i="5" s="1"/>
  <c r="C361" i="5"/>
  <c r="D361" i="5" s="1"/>
  <c r="C362" i="5"/>
  <c r="D362" i="5" s="1"/>
  <c r="C363" i="5"/>
  <c r="D363" i="5" s="1"/>
  <c r="C364" i="5"/>
  <c r="D364" i="5" s="1"/>
  <c r="C365" i="5"/>
  <c r="D365" i="5" s="1"/>
  <c r="C366" i="5"/>
  <c r="D366" i="5" s="1"/>
  <c r="C367" i="5"/>
  <c r="D367" i="5" s="1"/>
  <c r="C368" i="5"/>
  <c r="D368" i="5" s="1"/>
  <c r="C369" i="5"/>
  <c r="D369" i="5" s="1"/>
  <c r="C370" i="5"/>
  <c r="D370" i="5" s="1"/>
  <c r="C371" i="5"/>
  <c r="D371" i="5" s="1"/>
  <c r="C372" i="5"/>
  <c r="D372" i="5" s="1"/>
  <c r="C373" i="5"/>
  <c r="D373" i="5" s="1"/>
  <c r="C374" i="5"/>
  <c r="D374" i="5" s="1"/>
  <c r="C375" i="5"/>
  <c r="D375" i="5" s="1"/>
  <c r="C376" i="5"/>
  <c r="D376" i="5" s="1"/>
  <c r="C377" i="5"/>
  <c r="D377" i="5" s="1"/>
  <c r="C378" i="5"/>
  <c r="D378" i="5" s="1"/>
  <c r="C379" i="5"/>
  <c r="D379" i="5" s="1"/>
  <c r="C380" i="5"/>
  <c r="D380" i="5" s="1"/>
  <c r="C381" i="5"/>
  <c r="D381" i="5" s="1"/>
  <c r="C382" i="5"/>
  <c r="D382" i="5" s="1"/>
  <c r="C383" i="5"/>
  <c r="D383" i="5" s="1"/>
  <c r="C384" i="5"/>
  <c r="D384" i="5" s="1"/>
  <c r="C385" i="5"/>
  <c r="D385" i="5" s="1"/>
  <c r="C386" i="5"/>
  <c r="D386" i="5" s="1"/>
  <c r="C387" i="5"/>
  <c r="D387" i="5" s="1"/>
  <c r="C388" i="5"/>
  <c r="D388" i="5" s="1"/>
  <c r="C389" i="5"/>
  <c r="D389" i="5" s="1"/>
  <c r="C390" i="5"/>
  <c r="D390" i="5" s="1"/>
  <c r="C391" i="5"/>
  <c r="D391" i="5" s="1"/>
  <c r="C392" i="5"/>
  <c r="D392" i="5" s="1"/>
  <c r="C393" i="5"/>
  <c r="D393" i="5" s="1"/>
  <c r="C396" i="5"/>
  <c r="D396" i="5" s="1"/>
  <c r="C397" i="5"/>
  <c r="D397" i="5" s="1"/>
  <c r="C398" i="5"/>
  <c r="D398" i="5" s="1"/>
  <c r="C399" i="5"/>
  <c r="D399" i="5" s="1"/>
  <c r="C400" i="5"/>
  <c r="D400" i="5" s="1"/>
  <c r="C401" i="5"/>
  <c r="D401" i="5" s="1"/>
  <c r="C188" i="5"/>
  <c r="D188" i="5" s="1"/>
  <c r="C83" i="5"/>
  <c r="D83" i="5" s="1"/>
  <c r="C82" i="5"/>
  <c r="D82" i="5" s="1"/>
  <c r="C3" i="5"/>
  <c r="D3" i="5" s="1"/>
  <c r="C5" i="5"/>
  <c r="D5" i="5" s="1"/>
  <c r="C6" i="5"/>
  <c r="D6" i="5" s="1"/>
  <c r="C7" i="5"/>
  <c r="D7" i="5" s="1"/>
  <c r="C8" i="5"/>
  <c r="D8" i="5" s="1"/>
  <c r="C9" i="5"/>
  <c r="D9" i="5" s="1"/>
  <c r="C10" i="5"/>
  <c r="D10" i="5" s="1"/>
  <c r="C11" i="5"/>
  <c r="D11" i="5" s="1"/>
  <c r="C12" i="5"/>
  <c r="D12" i="5" s="1"/>
  <c r="C13" i="5"/>
  <c r="D13" i="5" s="1"/>
  <c r="C14" i="5"/>
  <c r="D14" i="5" s="1"/>
  <c r="C15" i="5"/>
  <c r="D15" i="5" s="1"/>
  <c r="C16" i="5"/>
  <c r="D16" i="5" s="1"/>
  <c r="C17" i="5"/>
  <c r="D17" i="5" s="1"/>
  <c r="C18" i="5"/>
  <c r="D18" i="5" s="1"/>
  <c r="C19" i="5"/>
  <c r="D19" i="5" s="1"/>
  <c r="C20" i="5"/>
  <c r="D20" i="5" s="1"/>
  <c r="C21" i="5"/>
  <c r="D21" i="5" s="1"/>
  <c r="C22" i="5"/>
  <c r="D22" i="5" s="1"/>
  <c r="C23" i="5"/>
  <c r="D23" i="5" s="1"/>
  <c r="C24" i="5"/>
  <c r="D24" i="5" s="1"/>
  <c r="C25" i="5"/>
  <c r="D25" i="5" s="1"/>
  <c r="C26" i="5"/>
  <c r="D26" i="5" s="1"/>
  <c r="C27" i="5"/>
  <c r="D27" i="5" s="1"/>
  <c r="C28" i="5"/>
  <c r="D28" i="5" s="1"/>
  <c r="C30" i="5"/>
  <c r="D30" i="5" s="1"/>
  <c r="C31" i="5"/>
  <c r="D31" i="5" s="1"/>
  <c r="C32" i="5"/>
  <c r="D32" i="5" s="1"/>
  <c r="C33" i="5"/>
  <c r="D33" i="5" s="1"/>
  <c r="C34" i="5"/>
  <c r="D34" i="5" s="1"/>
  <c r="C35" i="5"/>
  <c r="D35" i="5" s="1"/>
  <c r="C36" i="5"/>
  <c r="D36" i="5" s="1"/>
  <c r="C37" i="5"/>
  <c r="D37" i="5" s="1"/>
  <c r="C38" i="5"/>
  <c r="D38" i="5" s="1"/>
  <c r="C39" i="5"/>
  <c r="D39" i="5" s="1"/>
  <c r="C40" i="5"/>
  <c r="D40" i="5" s="1"/>
  <c r="C44" i="5"/>
  <c r="D44" i="5" s="1"/>
  <c r="C45" i="5"/>
  <c r="D45" i="5" s="1"/>
  <c r="C46" i="5"/>
  <c r="D46" i="5" s="1"/>
  <c r="C47" i="5"/>
  <c r="D47" i="5" s="1"/>
  <c r="C48" i="5"/>
  <c r="D48" i="5" s="1"/>
  <c r="C49" i="5"/>
  <c r="D49" i="5" s="1"/>
  <c r="C50" i="5"/>
  <c r="D50" i="5" s="1"/>
  <c r="C51" i="5"/>
  <c r="D51" i="5" s="1"/>
  <c r="C52" i="5"/>
  <c r="D52" i="5" s="1"/>
  <c r="C53" i="5"/>
  <c r="D53" i="5" s="1"/>
  <c r="C54" i="5"/>
  <c r="D54" i="5" s="1"/>
  <c r="C55" i="5"/>
  <c r="D55" i="5" s="1"/>
  <c r="C56" i="5"/>
  <c r="D56" i="5" s="1"/>
  <c r="C57" i="5"/>
  <c r="D57" i="5" s="1"/>
  <c r="C58" i="5"/>
  <c r="D58" i="5" s="1"/>
  <c r="C59" i="5"/>
  <c r="D59" i="5" s="1"/>
  <c r="C60" i="5"/>
  <c r="D60" i="5" s="1"/>
  <c r="C61" i="5"/>
  <c r="D61" i="5" s="1"/>
  <c r="C62" i="5"/>
  <c r="D62" i="5" s="1"/>
  <c r="C63" i="5"/>
  <c r="D63" i="5" s="1"/>
  <c r="C64" i="5"/>
  <c r="D64" i="5" s="1"/>
  <c r="C65" i="5"/>
  <c r="D65" i="5" s="1"/>
  <c r="C67" i="5"/>
  <c r="D67" i="5" s="1"/>
  <c r="C68" i="5"/>
  <c r="D68" i="5" s="1"/>
  <c r="C69" i="5"/>
  <c r="D69" i="5" s="1"/>
  <c r="C72" i="5"/>
  <c r="D72" i="5" s="1"/>
  <c r="C73" i="5"/>
  <c r="D73" i="5" s="1"/>
  <c r="C74" i="5"/>
  <c r="D74" i="5" s="1"/>
  <c r="C76" i="5"/>
  <c r="D76" i="5" s="1"/>
  <c r="C77" i="5"/>
  <c r="D77" i="5" s="1"/>
  <c r="C78" i="5"/>
  <c r="D78" i="5" s="1"/>
  <c r="C79" i="5"/>
  <c r="D79" i="5" s="1"/>
  <c r="C80" i="5"/>
  <c r="D80" i="5" s="1"/>
  <c r="C84" i="5"/>
  <c r="D84" i="5" s="1"/>
  <c r="C86" i="5"/>
  <c r="D86" i="5" s="1"/>
  <c r="C87" i="5"/>
  <c r="D87" i="5" s="1"/>
  <c r="C88" i="5"/>
  <c r="D88" i="5" s="1"/>
  <c r="C89" i="5"/>
  <c r="D89" i="5" s="1"/>
  <c r="C90" i="5"/>
  <c r="D90" i="5" s="1"/>
  <c r="C94" i="5"/>
  <c r="D94" i="5" s="1"/>
  <c r="C95" i="5"/>
  <c r="D95" i="5" s="1"/>
  <c r="C96" i="5"/>
  <c r="D96" i="5" s="1"/>
  <c r="C97" i="5"/>
  <c r="D97" i="5" s="1"/>
  <c r="C98" i="5"/>
  <c r="D98" i="5" s="1"/>
  <c r="C99" i="5"/>
  <c r="D99" i="5" s="1"/>
  <c r="C100" i="5"/>
  <c r="D100" i="5" s="1"/>
  <c r="C101" i="5"/>
  <c r="D101" i="5" s="1"/>
  <c r="C102" i="5"/>
  <c r="D102" i="5" s="1"/>
  <c r="C103" i="5"/>
  <c r="D103" i="5" s="1"/>
  <c r="C104" i="5"/>
  <c r="D104" i="5" s="1"/>
  <c r="C105" i="5"/>
  <c r="D105" i="5" s="1"/>
  <c r="C106" i="5"/>
  <c r="D106" i="5" s="1"/>
  <c r="C107" i="5"/>
  <c r="D107" i="5" s="1"/>
  <c r="C108" i="5"/>
  <c r="D108" i="5" s="1"/>
  <c r="C109" i="5"/>
  <c r="D109" i="5" s="1"/>
  <c r="C110" i="5"/>
  <c r="D110" i="5" s="1"/>
  <c r="C111" i="5"/>
  <c r="D111" i="5" s="1"/>
  <c r="C112" i="5"/>
  <c r="D112" i="5" s="1"/>
  <c r="C113" i="5"/>
  <c r="D113" i="5" s="1"/>
  <c r="C114" i="5"/>
  <c r="D114" i="5" s="1"/>
  <c r="C115" i="5"/>
  <c r="D115" i="5" s="1"/>
  <c r="C116" i="5"/>
  <c r="D116" i="5" s="1"/>
  <c r="C117" i="5"/>
  <c r="D117" i="5" s="1"/>
  <c r="C118" i="5"/>
  <c r="D118" i="5" s="1"/>
  <c r="C119" i="5"/>
  <c r="D119" i="5" s="1"/>
  <c r="C120" i="5"/>
  <c r="D120" i="5" s="1"/>
  <c r="C121" i="5"/>
  <c r="D121" i="5" s="1"/>
  <c r="C122" i="5"/>
  <c r="D122" i="5" s="1"/>
  <c r="C123" i="5"/>
  <c r="D123" i="5" s="1"/>
  <c r="C124" i="5"/>
  <c r="D124" i="5" s="1"/>
  <c r="C125" i="5"/>
  <c r="D125" i="5" s="1"/>
  <c r="C126" i="5"/>
  <c r="D126" i="5" s="1"/>
  <c r="C127" i="5"/>
  <c r="D127" i="5" s="1"/>
  <c r="C128" i="5"/>
  <c r="D128" i="5" s="1"/>
  <c r="C129" i="5"/>
  <c r="D129" i="5" s="1"/>
  <c r="C130" i="5"/>
  <c r="D130" i="5" s="1"/>
  <c r="C131" i="5"/>
  <c r="D131" i="5" s="1"/>
  <c r="C132" i="5"/>
  <c r="D132" i="5" s="1"/>
  <c r="C133" i="5"/>
  <c r="D133" i="5" s="1"/>
  <c r="C134" i="5"/>
  <c r="D134" i="5" s="1"/>
  <c r="C135" i="5"/>
  <c r="D135" i="5" s="1"/>
  <c r="C136" i="5"/>
  <c r="D136" i="5" s="1"/>
  <c r="C137" i="5"/>
  <c r="D137" i="5" s="1"/>
  <c r="C138" i="5"/>
  <c r="D138" i="5" s="1"/>
  <c r="C139" i="5"/>
  <c r="D139" i="5" s="1"/>
  <c r="C140" i="5"/>
  <c r="D140" i="5" s="1"/>
  <c r="C141" i="5"/>
  <c r="D141" i="5" s="1"/>
  <c r="C142" i="5"/>
  <c r="C143" i="5"/>
  <c r="D143" i="5" s="1"/>
  <c r="C144" i="5"/>
  <c r="D144" i="5" s="1"/>
  <c r="C145" i="5"/>
  <c r="C146" i="5"/>
  <c r="D146" i="5" s="1"/>
  <c r="C147" i="5"/>
  <c r="D147" i="5" s="1"/>
  <c r="C148" i="5"/>
  <c r="D148" i="5" s="1"/>
  <c r="C149" i="5"/>
  <c r="D149" i="5" s="1"/>
  <c r="C150" i="5"/>
  <c r="D150" i="5" s="1"/>
  <c r="C151" i="5"/>
  <c r="D151" i="5" s="1"/>
  <c r="C152" i="5"/>
  <c r="D152" i="5" s="1"/>
  <c r="C153" i="5"/>
  <c r="D153" i="5" s="1"/>
  <c r="C154" i="5"/>
  <c r="D154" i="5" s="1"/>
  <c r="C155" i="5"/>
  <c r="D155" i="5" s="1"/>
  <c r="C156" i="5"/>
  <c r="C157" i="5"/>
  <c r="D157" i="5" s="1"/>
  <c r="C158" i="5"/>
  <c r="C159" i="5"/>
  <c r="D159" i="5" s="1"/>
  <c r="C160" i="5"/>
  <c r="D160" i="5" s="1"/>
  <c r="C161" i="5"/>
  <c r="C162" i="5"/>
  <c r="C163" i="5"/>
  <c r="D163" i="5" s="1"/>
  <c r="C164" i="5"/>
  <c r="D164" i="5" s="1"/>
  <c r="C165" i="5"/>
  <c r="D165" i="5" s="1"/>
  <c r="C166" i="5"/>
  <c r="D166" i="5" s="1"/>
  <c r="C167" i="5"/>
  <c r="D167" i="5" s="1"/>
  <c r="C168" i="5"/>
  <c r="D168" i="5" s="1"/>
  <c r="C169" i="5"/>
  <c r="D169" i="5" s="1"/>
  <c r="C170" i="5"/>
  <c r="D170" i="5" s="1"/>
  <c r="C171" i="5"/>
  <c r="D171" i="5" s="1"/>
  <c r="C172" i="5"/>
  <c r="D172" i="5" s="1"/>
  <c r="C173" i="5"/>
  <c r="D173" i="5" s="1"/>
  <c r="C174" i="5"/>
  <c r="D174" i="5" s="1"/>
  <c r="C175" i="5"/>
  <c r="C176" i="5"/>
  <c r="D176" i="5" s="1"/>
  <c r="C177" i="5"/>
  <c r="D177" i="5" s="1"/>
  <c r="C178" i="5"/>
  <c r="D178" i="5" s="1"/>
  <c r="C179" i="5"/>
  <c r="D179" i="5" s="1"/>
  <c r="C180" i="5"/>
  <c r="D180" i="5" s="1"/>
  <c r="C181" i="5"/>
  <c r="D181" i="5" s="1"/>
  <c r="C182" i="5"/>
  <c r="D182" i="5" s="1"/>
  <c r="C183" i="5"/>
  <c r="D183" i="5" s="1"/>
  <c r="C184" i="5"/>
  <c r="D184" i="5" s="1"/>
  <c r="C185" i="5"/>
  <c r="D185" i="5" s="1"/>
  <c r="C186" i="5"/>
  <c r="D186" i="5" s="1"/>
  <c r="C187" i="5"/>
  <c r="D187" i="5" s="1"/>
</calcChain>
</file>

<file path=xl/sharedStrings.xml><?xml version="1.0" encoding="utf-8"?>
<sst xmlns="http://schemas.openxmlformats.org/spreadsheetml/2006/main" count="2457" uniqueCount="792">
  <si>
    <t>actor</t>
  </si>
  <si>
    <t>Umbrella_name_1</t>
  </si>
  <si>
    <t>Umbrella_name_2</t>
  </si>
  <si>
    <t>Umbrella_name_3</t>
  </si>
  <si>
    <t>Umbrella_id_1</t>
  </si>
  <si>
    <t>Umbrella_id_2</t>
  </si>
  <si>
    <t>Umbrella_id_3</t>
  </si>
  <si>
    <t>match_grade</t>
  </si>
  <si>
    <t>Source</t>
  </si>
  <si>
    <t>Notes</t>
  </si>
  <si>
    <t>Type</t>
  </si>
  <si>
    <t>Allies</t>
  </si>
  <si>
    <t>13th Division</t>
  </si>
  <si>
    <t>Free Syrian Army</t>
  </si>
  <si>
    <t>A</t>
  </si>
  <si>
    <t>https://www.reuters.com/article/us-mideast-crisis-syria-idlib/air-strike-on-market-kills-around-40-in-opposition-held-northwest-syria-idUSKCN0XG1XT</t>
  </si>
  <si>
    <t>Lines up with ACLED battle descriptions. Wikipedia link: https://en.wikipedia.org/wiki/13th_Division_(Syrian_rebel_group)</t>
  </si>
  <si>
    <t>Al Qaeda</t>
  </si>
  <si>
    <t>1st Brigade of Damascus</t>
  </si>
  <si>
    <t>http://www.orient-news.net/en/news_show/110355/Oppositions-First-Brigade-merges-into-al-Rahman-Brigade-in-Damascus-</t>
  </si>
  <si>
    <t>Merged into al-Rahman Brigades, which are part of FSA. Source: http://www.dw.com/en/which-rebel-groups-are-fighting-in-syrias-eastern-ghouta/a-42663501</t>
  </si>
  <si>
    <t>Jaysh al-Fatah</t>
  </si>
  <si>
    <t>Sunni Islamist</t>
  </si>
  <si>
    <t>1st Coastal Division</t>
  </si>
  <si>
    <t>http://www.rubincenter.org/2015/12/the-factions-of-north-latakia/</t>
  </si>
  <si>
    <t>Al-Fawj Al-Awl</t>
  </si>
  <si>
    <t>1st Regiment</t>
  </si>
  <si>
    <t>The Southern Front</t>
  </si>
  <si>
    <t>https://notgeorgesabra.wordpress.com/2014/10/21/the-moderate-rebels-a-complete-and-growing-list-of-vetted-groups/</t>
  </si>
  <si>
    <t>aka 1st Artillery Regiment</t>
  </si>
  <si>
    <t>The Levantine Front</t>
  </si>
  <si>
    <t>3rd Corps</t>
  </si>
  <si>
    <t>https://syria.liveuamap.com/en/2018/20-february-afrinop-3rd-corps-of-national-army-storming-with</t>
  </si>
  <si>
    <t>Note that in the description of events that include 3rd corps, it is listed as an FSA group fighting against YPG</t>
  </si>
  <si>
    <t>Jaysh al-Islam</t>
  </si>
  <si>
    <t>9th Division Special Forces</t>
  </si>
  <si>
    <t>https://smartnews-agency.com/en/media/249654/the-9th-division--graduates-a-military-class-in-jarablus</t>
  </si>
  <si>
    <t xml:space="preserve">Free Syrian Army </t>
  </si>
  <si>
    <t>AAS: Ahrar al-Sham</t>
  </si>
  <si>
    <t>Ahrar al-Sham</t>
  </si>
  <si>
    <t>Definition</t>
  </si>
  <si>
    <t>One of largest Sunni Islamist groups, maybe should be an umbrella organization. Recently merged with Nour al-Din al-Zenki to form Syrian Liberation Force (!). Wikipedia link: https://en.wikipedia.org/wiki/Ahrar_al-Sham</t>
  </si>
  <si>
    <t>Faylaq al-Rahman</t>
  </si>
  <si>
    <t>AJA: Ahrar Jabal Al-Sheikh</t>
  </si>
  <si>
    <t>C</t>
  </si>
  <si>
    <t>No exact link to any umbrella organization. Group seems to fight against government forces in alliance with FSA, HTS</t>
  </si>
  <si>
    <t>Ajnad al-Sham Islamic Union</t>
  </si>
  <si>
    <t>Abu Amara Brigade</t>
  </si>
  <si>
    <t>Wikipedia *** DOUBLE-CHECK ***</t>
  </si>
  <si>
    <t>Abna al-Sham (Hama)</t>
  </si>
  <si>
    <t>https://www.longwarjournal.org/archives/2017/03/analysis-insurgents-launch-major-offensive-against-assad-regime-in-hama-province.php</t>
  </si>
  <si>
    <t>Popular Mobilization Forces</t>
  </si>
  <si>
    <t>Shia</t>
  </si>
  <si>
    <t>Iraq</t>
  </si>
  <si>
    <t>Iran</t>
  </si>
  <si>
    <t>Ahmad al-Abdo Forces</t>
  </si>
  <si>
    <t>https://www.newsdeeply.com/syria/community/2017/03/01/fmaa-our-priority-is-to-establish-our-free-future-state</t>
  </si>
  <si>
    <t>Hezbollah</t>
  </si>
  <si>
    <t>Ahrar Al Sharqiyah</t>
  </si>
  <si>
    <t>https://www.almasdarnews.com/article/syrian-army-neutralizes-turkish-backed-troops-near-al-bab/</t>
  </si>
  <si>
    <t>This is a duplicate with slightly different spelling. Seems like some within this group have defected to SDF, per this article: http://theregion.org/article/12722-disillusioned-jihadist-ahrar-al-sharqiya-members-defect-to-sdf-backed-council</t>
  </si>
  <si>
    <t>Syrian Democratic Forces</t>
  </si>
  <si>
    <t>Kurdish</t>
  </si>
  <si>
    <t>USA</t>
  </si>
  <si>
    <t>Russia</t>
  </si>
  <si>
    <t>Ahrar Nawa Brigade</t>
  </si>
  <si>
    <t>https://rfsmediaoffice.com/en/2017/02/14/coalition-southern-forces/</t>
  </si>
  <si>
    <t>Secular</t>
  </si>
  <si>
    <t>Ahrar al-Sharqiyah</t>
  </si>
  <si>
    <t>Islamic State</t>
  </si>
  <si>
    <t>Military Forces of Syria</t>
  </si>
  <si>
    <t>Aknaf Bait al-Maqdis</t>
  </si>
  <si>
    <t>http://www.syriahr.com/en/?p=77014</t>
  </si>
  <si>
    <t>Appear in ACLED as fighting alongside Sham al-Rasoul Brigade against the Islamic State, but no clear umbrella organization</t>
  </si>
  <si>
    <t>Aknaf Bayt al-Maqdes</t>
  </si>
  <si>
    <t>Appear in ACLED as fighting alongside Sham al-Rasoul Brigade against the Islamic State, but no clear umbrella organization. Note there is a duplicate entry that spells Bayt as "Bait" and Maqdes as "Maqdis"</t>
  </si>
  <si>
    <t>Al Haramain Brigades</t>
  </si>
  <si>
    <t>https://twitter.com/QSD00963/status/707950225260937216</t>
  </si>
  <si>
    <t>Name does not match exactly. The following link in German, confirmed with Google Translate, is reputable source: http://www.kurdistan-report.de/index.php/archiv/2017/54-kr-193-september-oktober-2017/623-die-qsd-eine-kampfgruppe-der-gesellschaften-syriens</t>
  </si>
  <si>
    <t>Turkey</t>
  </si>
  <si>
    <t>Al Sham Corps</t>
  </si>
  <si>
    <t>https://www.reuters.com/article/us-mideast-crisis-syria-rebels/syrian-rebel-group-says-exits-islamist-alliance-to-refocus-fight-idUSKBN0UH08Q20160103?feedType=RSS&amp;feedName=worldNews</t>
  </si>
  <si>
    <t>Duplicate</t>
  </si>
  <si>
    <t>Israel</t>
  </si>
  <si>
    <t>Al-Haramain Brigade</t>
  </si>
  <si>
    <t>Al-Muwali Brigade (Syria)</t>
  </si>
  <si>
    <t>https://www.hate-speech.org/tribes-of-syria-pieces-on-a-chessboard/</t>
  </si>
  <si>
    <t>Slightly different spelling on the source link, "malawi", but lines up with other sources reviewed.</t>
  </si>
  <si>
    <t>Al-Safirah Brigade</t>
  </si>
  <si>
    <t>http://www.aymennjawad.org/18859/the-local-defence-forces-regime-auxiliary-forces</t>
  </si>
  <si>
    <t>Name does not match exactly: "Safira Regiment" vs. "al-Safira Brigade"</t>
  </si>
  <si>
    <t>Al-Sham Corps</t>
  </si>
  <si>
    <t>Group withdrew from Jaysh al-Fatah in 2016, reasserting its independence. Al Sham Corps = Sham Legion = Faylaq al-Sham. But it is unclear which umbrella group it belongs to.</t>
  </si>
  <si>
    <t>Al-Tawhid Army</t>
  </si>
  <si>
    <t>Does not fit into any of the umbrella organizations</t>
  </si>
  <si>
    <t>Al-Wosta Division</t>
  </si>
  <si>
    <t>http://en.farsnews.com/newstext.aspx?nn=13960418000232</t>
  </si>
  <si>
    <t>Allied Syrian and/or Russian Forces</t>
  </si>
  <si>
    <t>B</t>
  </si>
  <si>
    <t>Could be Syrian military or Russia (id = 15)</t>
  </si>
  <si>
    <t>Ansar al-Islam</t>
  </si>
  <si>
    <t>http://web.stanford.edu/group/mappingmilitants/cgi-bin/groups/view/13</t>
  </si>
  <si>
    <t>Ansar al-Islam was a Sunni group that spanned Iraq and Syria from 2001 to 2014. In 2013-2014, the group clashed with the Islamic State (IS), because it considered IS’s claiming itself as the caliphate premature and undeserved. However, on August 2014, Iraqi leaders of Ansar al-Islam declared that they would be joining IS, so that 90% or more of Iraqi Ansar al-Islam joined IS. Ansar al-Islam in Iraq thus effectively disbanded, while the Syria branch rejected the declaration and remains an independent organization, still fights IS. Only remnants are left in Syria.</t>
  </si>
  <si>
    <t>Arab Nationalist Guard</t>
  </si>
  <si>
    <t>http://www.aymennjawad.org/14235/arab-nationalist-guard</t>
  </si>
  <si>
    <t>Army of Mujahideen</t>
  </si>
  <si>
    <t>Mujahideen Army</t>
  </si>
  <si>
    <t>https://syriainbrief.wordpress.com/2018/01/02/the-cias-tow-program-a-list-of-rebel-groups-involved/</t>
  </si>
  <si>
    <t>Note that the group has now disbanded and integrated into Ahrar ash-Sham</t>
  </si>
  <si>
    <t>As-Sweida Communal Militia (Syria)</t>
  </si>
  <si>
    <t>This group has seemingly rejected FSA alliance offerings, but it is unclear whether or not it is allied with government. Source: https://www.almasdarnews.com/article/druze-of-as-sweida-reject-fsa-peace-offering/</t>
  </si>
  <si>
    <t>Asayish (Syria)</t>
  </si>
  <si>
    <t>http://www.middleeasteye.net/news/anti-coalition-trains-policemen-syrias-raqqa-1227633581</t>
  </si>
  <si>
    <t>The group is for the most part a Kurdish police force in Northern Syria (Rojava), but it has also had involvement with military campaigns. Seems like more recently, the force has become more integrated with the SDF (from source cited)</t>
  </si>
  <si>
    <t>Ba'ath Party Members (Syria)</t>
  </si>
  <si>
    <t>https://en.wikipedia.org/wiki/Ba%27ath_Party_(Syrian-dominated_faction)</t>
  </si>
  <si>
    <t>Ba'ath Party is aligned with the government (has been ruling party in Syria for half a century), so it would be aligned with Military Forces of Syria, but the match is not exact.</t>
  </si>
  <si>
    <t>Bakkara Youth Gathering (Syria)</t>
  </si>
  <si>
    <t>http://www.syriahr.com/en/?p=73900</t>
  </si>
  <si>
    <t>DUPLICATE - Same as "al-Bakkara Youth Gathering (Syria) (Syria)" above</t>
  </si>
  <si>
    <t>Banyan al-Marsus</t>
  </si>
  <si>
    <t>http://www.atlanticcouncil.org/blogs/syriasource/the-battle-for-deraa-and-iran-s-plans-in-the-south</t>
  </si>
  <si>
    <t>Civilians</t>
  </si>
  <si>
    <t>Vague description</t>
  </si>
  <si>
    <t>Eagles of the Whirlwind</t>
  </si>
  <si>
    <t>Eastern Shield Army</t>
  </si>
  <si>
    <t>https://southfront.org/militants-announced-formation-of-eastern-shield-army/</t>
  </si>
  <si>
    <t>FFaI: Dawn of Islam Division</t>
  </si>
  <si>
    <t>https://twitter.com/rufus_mcdonald/status/839283019227639808</t>
  </si>
  <si>
    <t>No concrete reliable source, but all of them point to FSA (possibly Southern Front) affiliation</t>
  </si>
  <si>
    <t>FaR: Al-Rahman Corps</t>
  </si>
  <si>
    <t>Seems like the group is 'sometimes' part of FSA</t>
  </si>
  <si>
    <t>Fatemiyoun Brigade</t>
  </si>
  <si>
    <t>Farouq Battalions</t>
  </si>
  <si>
    <t>http://world.time.com/2012/10/05/syrias-up-and-coming-rebels-who-are-the-farouq-brigades-2/print/</t>
  </si>
  <si>
    <t>Largely defunct as of early 2017</t>
  </si>
  <si>
    <t>Fawj Maghawir al-Badiya</t>
  </si>
  <si>
    <t>http://www.meforum.org/6296/fawj-maghawir-al-badiya</t>
  </si>
  <si>
    <t>Free Alawite Movement</t>
  </si>
  <si>
    <t>https://www.memri.org/reports/free-alawite-movement-first-signs-armed-alawite-resistance-assad-regime</t>
  </si>
  <si>
    <t>Source cited indicates intention to join FSA, from other sources seems as though group is indeed linked to FSA</t>
  </si>
  <si>
    <t>Free Idlib Army</t>
  </si>
  <si>
    <t>https://www.almasdarnews.com/article/new-rebel-group-formed-idlib/</t>
  </si>
  <si>
    <t>Free Syrian Police</t>
  </si>
  <si>
    <t>https://www.adamsmithinternational.com/news-and-insights/background-on-the-free-syrian-police</t>
  </si>
  <si>
    <t>Independent police force</t>
  </si>
  <si>
    <t>Ghuraba Al-Janob</t>
  </si>
  <si>
    <t>http://www.syriahr.com/en/?p=82302</t>
  </si>
  <si>
    <t>No clear identification, but clearly a rebel group</t>
  </si>
  <si>
    <t>Global Coalition Against Daesh</t>
  </si>
  <si>
    <t>http://theglobalcoalition.org/en/mission-en/</t>
  </si>
  <si>
    <t>ISIS Hunters</t>
  </si>
  <si>
    <t>Golan Regiment</t>
  </si>
  <si>
    <t>https://www.almasdarnews.com/article/leader-prominent-pro-government-force-died-golan-heights/</t>
  </si>
  <si>
    <t>Grey Wolves</t>
  </si>
  <si>
    <t>https://warontherocks.com/2016/01/a-cause-for-all-turks-turkey-and-syrias-turkmen-rebels/</t>
  </si>
  <si>
    <t>The group certainly is aligned with Turkey's objectives and might get funding from Turkey, but 'B' grade because it is not strictly a part of Turkey</t>
  </si>
  <si>
    <t>Grey Wolves Militia</t>
  </si>
  <si>
    <t>HMI: Islamic Muthanna Movement</t>
  </si>
  <si>
    <t>http://www.middleeasteye.net/news/fighters-take-over-rural-towns-west-daraa-2084156366</t>
  </si>
  <si>
    <t>Allegedly part of ISIS, but not confirmed. Definitely allies. Wikipedia page: https://en.wikipedia.org/wiki/Islamic_Muthanna_Movement</t>
  </si>
  <si>
    <t>HNDZ: Nour al-Din al-Zinki Movement</t>
  </si>
  <si>
    <t>http://www.atlanticcouncil.org/blogs/syriasource/nour-al-din-al-zenki-movement-how-a-once-moderate-group-joined-fateh-al-sham</t>
  </si>
  <si>
    <t>Note that as of February 2018, this group and Arhar al-Sham have merged to form the Syrian Liberation Front. https://en.wikipedia.org/wiki/Nour_al-Din_al-Zenki_Movement#2016_beheading_incident</t>
  </si>
  <si>
    <t>HTS: Hayat Tahrir al-Sham</t>
  </si>
  <si>
    <t>https://en.wikipedia.org/wiki/Tahrir_al-Sham</t>
  </si>
  <si>
    <t>Link as part of Al Qaeda disputed. This will be a decision co-authors have to make about how to code HTS, which is one of the largest and most important groups. Often acts independently.</t>
  </si>
  <si>
    <t>HXP: Self-Defense Forces</t>
  </si>
  <si>
    <t>https://en.wikipedia.org/wiki/Self-Defense_Forces_(Rojava_cantons)</t>
  </si>
  <si>
    <t>Similar to Asayish, this is a local police force, seemingly not linked to any of the indicated groups</t>
  </si>
  <si>
    <t>HXP: Self-defense Forces</t>
  </si>
  <si>
    <t>https://anfenglish.com/kurdistan/manbij-operation-will-continue-until-isis-is-completely-expelled-15983</t>
  </si>
  <si>
    <t>Wikipedia link: https://en.wikipedia.org/wiki/Self-Defense_Forces_(DFNS_regions)</t>
  </si>
  <si>
    <t>Hamza Division - Aleppo</t>
  </si>
  <si>
    <t>http://www.middleeasteye.net/news/turkey-sends-kurdish-falcon-force-afrin-counter-anti-kurd-image-1507200569</t>
  </si>
  <si>
    <t>Harakat Hezbollah al-Nujaba</t>
  </si>
  <si>
    <t>http://www.aymennjawad.org/2015/04/interview-with-the-leader-of-harakat-al-nujaba</t>
  </si>
  <si>
    <t>ISIS hunters</t>
  </si>
  <si>
    <t>http://www.francesoir.fr/politique-monde/syrie-les-isis-hunters-ces-soldats-du-regime-de-damas-formes-par-moscou-bachar-al-assad-forces-speciales-russie-syriens-etat-islamique-palmyre-daech-stephane-mantoux-5e-corps</t>
  </si>
  <si>
    <t>JMA: Army of Emigrants and Supporters</t>
  </si>
  <si>
    <t>Imam Bukhari Battalion</t>
  </si>
  <si>
    <t>https://www.rferl.org/a/islamic-state-uzbek-militant-faction-syria-taliban/26686992.html</t>
  </si>
  <si>
    <t>This alliance may have ended since 2017</t>
  </si>
  <si>
    <t>Islamic State (Syria)</t>
  </si>
  <si>
    <t>Islamist Factions (Syria)</t>
  </si>
  <si>
    <t>Islamist Militia</t>
  </si>
  <si>
    <t>Islamist Rebels (Syria)</t>
  </si>
  <si>
    <t>JAA: Army of Free Tribes</t>
  </si>
  <si>
    <t>Source unclear</t>
  </si>
  <si>
    <t>JMT: Army of the Commandos of the Revolution</t>
  </si>
  <si>
    <t>https://arabi21.com/story/1009418/%D9%85%D8%BA%D8%A7%D9%88%D9%8A%D8%B1-%D8%A7%D9%84%D8%AB%D9%88%D8%B1%D8%A9-%D9%8A%D8%B3%D8%AA%D8%B9%D8%AF-%D9%84%D9%85%D8%B9%D8%B1%D9%83%D8%A9-%D8%A7%D9%84%D8%A8%D9%88%D9%83%D9%85%D8%A7%D9%84-%D8%A8%D8%BA%D8%B7%D8%A7%D8%A1-%D9%85%D9%86-%D8%A7%D9%84%D8%AA%D8%AD%D8%A7%D9%84%D9%81</t>
  </si>
  <si>
    <t>Translated to English using Google Translated</t>
  </si>
  <si>
    <t>JOS: Lions of the East Army</t>
  </si>
  <si>
    <t>http://www.middleeasteye.net/news/air-strikes-kill-least-3-syrian-refugees-jordanian-border-iran-russia-rebels-rukban-tanf-coalition-amman-588493312</t>
  </si>
  <si>
    <t>JSH: Free Syrian Army</t>
  </si>
  <si>
    <t>JTS: Syria Liberation Front</t>
  </si>
  <si>
    <t>http://syriadirect.org/news/two-of-the-largest-factions-in-syria%E2%80%99s-northwest-merge-challenge-hts-dominance/</t>
  </si>
  <si>
    <t>Recent merging of Ahrar a-Sham and Harakat Nour e-Din a-Zinki</t>
  </si>
  <si>
    <t>JTS: Syrian Revolutionaries Front</t>
  </si>
  <si>
    <t>http://carnegie-mec.org/diwan/55054?lang=en</t>
  </si>
  <si>
    <t>JWS: Syrian National Army</t>
  </si>
  <si>
    <t>JaF: Army of Conquest</t>
  </si>
  <si>
    <t>https://en.wikipedia.org/wiki/Army_of_Conquest</t>
  </si>
  <si>
    <t>JaI: Army of Glory</t>
  </si>
  <si>
    <t>JaM: Army of Monotheists (Syria) (Syria)</t>
  </si>
  <si>
    <t>https://web.archive.org/web/20141009135404/http://www.juancole.com/news/syria-comment/2014/09/suwayda-village-militias</t>
  </si>
  <si>
    <t>They are linked but not explicitly a part of the military forces of syria</t>
  </si>
  <si>
    <t>JaN: Army of Victory</t>
  </si>
  <si>
    <t>JaN: Elite Army</t>
  </si>
  <si>
    <t>https://smartnews-agency.com/ar/wires/216110/%D8%AC%D9%8A%D8%B4-%D8%A7%D9%84%D8%AA%D8%AD%D8%B1%D9%8A%D8%B1-%D9%8A%D8%B9%D9%84%D9%86-%D8%A5%D8%B9%D8%A7%D8%AF%D8%A9-%D9%87%D9%8A%D9%83%D9%84%D8%AA%D9%87-%D9%88%D8%AA%D8%BA%D9%8A%D9%8A%D8%B1-%D8%A7%D8%B3%D9%85%D9%87-%D8%A5%D9%84%D9%89-%D8%AC%D9%8A%D8%B4-%D8%A7%D9%84%D9%86%D8%AE%D8%A8%D8%A9</t>
  </si>
  <si>
    <t>Translated to English using Google Translated. Group changed name from Army of Liberation, which was part of FSA. Source: https://hasanmustafas.wordpress.com/2015/05/08/the-moderate-rebels-a-complete-and-growing-list-of-vetted-groups-fielding-tow-missiles/</t>
  </si>
  <si>
    <t>JaS: Levant Front</t>
  </si>
  <si>
    <t>JaT: Army of Revolutionaries</t>
  </si>
  <si>
    <t>http://www.middleeasteye.net/news/ypg-and-allies-clashes-syrian-opposition-groups-aleppo-633986086</t>
  </si>
  <si>
    <t>Referred to in citation as Jaish al-Thuwwar (JaT)</t>
  </si>
  <si>
    <t>Jabhat Fateh al-Sham</t>
  </si>
  <si>
    <t>https://www.counterextremism.com/threat/nusra-front-jabhat-fateh-al-sham</t>
  </si>
  <si>
    <t>The group broke ties with Al Qaeda in 2016, by 2017 it had joined Tahrir al-Sham. Source: http://www.bbc.com/news/world-middle-east-36916606</t>
  </si>
  <si>
    <t>Jarablus Security forces</t>
  </si>
  <si>
    <t>https://www.reuters.com/article/us-mideast-crisis-syria-turkey-police/hundreds-of-police-trained-by-turkey-start-work-in-northern-syria-idUSKBN1582MF</t>
  </si>
  <si>
    <t>Jaysh Al Fatah</t>
  </si>
  <si>
    <t>Jaysh Maghawir al-Thawra</t>
  </si>
  <si>
    <t>https://www.washingtonpost.com/world/middle_east/the-last-remaining-pentagon-trained-rebel-group-in-syria-is-now-in-jeopardy/2016/05/27/91de194a-1c5f-11e6-82c2-a7dcb313287d_story.html?utm_term=.63d84c891bbb</t>
  </si>
  <si>
    <t>Formerly called New Syrian Army. Wikipedia link: https://en.wikipedia.org/wiki/Revolutionary_Commando_Army</t>
  </si>
  <si>
    <t>Jaysh al-Ahrar</t>
  </si>
  <si>
    <t>https://www.thecipherbrief.com/al-qaeda-spinoffs-rise-syrian-ashes</t>
  </si>
  <si>
    <t>Group split off from Ahrar al-Sham then from Tahrir al-Sham. Although at least one source calls it part of the FSA, this isn't consistent with most accounts: https://www.globalresearch.ca/idlib-de-escalation-zone-collapses-as-free-syrian-armys-sfa-moderate-opposition-comes-to-the-rescue-of-its-al-qaeda-counterparts/5625720</t>
  </si>
  <si>
    <t>Jaysh al Izza</t>
  </si>
  <si>
    <t xml:space="preserve"> </t>
  </si>
  <si>
    <t>Reading of Wikipedia</t>
  </si>
  <si>
    <t>Jaysh al-Nasr</t>
  </si>
  <si>
    <t>Same as Army of Victory</t>
  </si>
  <si>
    <t>JeA: Ababil Horan Battalion</t>
  </si>
  <si>
    <t>Source is from 2014</t>
  </si>
  <si>
    <t>Journalists (Syria)</t>
  </si>
  <si>
    <t>Jund al-Aqsa</t>
  </si>
  <si>
    <t>http://web.stanford.edu/group/mappingmilitants/cgi-bin/groups/view/669</t>
  </si>
  <si>
    <t>Originally in Al Nusra front, then split but leadership remained closely linked. Jund al-Aqsa disbanded in February 2017</t>
  </si>
  <si>
    <t>Jund al-Malahem</t>
  </si>
  <si>
    <t>https://southfront.org/syrian-army-captures-entire-area-of-mount-hass-in-southern-aleppo-photos-map/</t>
  </si>
  <si>
    <t>Unclear if Jund al-Malahem is still linked to Al Qaeda and/or Tahrir al-Sham</t>
  </si>
  <si>
    <t>KaB: Ba'ath Brigades</t>
  </si>
  <si>
    <t>https://en.zamanalwsl.net/news/article/23543/</t>
  </si>
  <si>
    <t>Allegiance to Syrian Government but not technically part of</t>
  </si>
  <si>
    <t>Katibat Ahrar al-Janub</t>
  </si>
  <si>
    <t>https://ctc.usma.edu/the-formation-of-hayat-tahrir-al-sham-and-wider-tensions-in-the-syrian-insurgency/</t>
  </si>
  <si>
    <t>Group that recently joined Tahrir al-Sham</t>
  </si>
  <si>
    <t>Khalid Ibn al-Walid Army</t>
  </si>
  <si>
    <t>https://www.timesofisrael.com/israel-said-to-carry-out-airstrike-on-is-linked-group-in-syria/</t>
  </si>
  <si>
    <t>Khalid ibn al-Walid Army</t>
  </si>
  <si>
    <t>Khan Shaykun Communal Militia (Syria)</t>
  </si>
  <si>
    <t>Khan Shaykhun was site of chemical attack in April 2017, presumably militia formed after attack</t>
  </si>
  <si>
    <t>LaQ: Quds Brigade</t>
  </si>
  <si>
    <t>https://en.wikipedia.org/wiki/Quds_Force</t>
  </si>
  <si>
    <t>Liwa Fajr al-Umma</t>
  </si>
  <si>
    <t>http://www.syriahr.com/en/?p=66297</t>
  </si>
  <si>
    <t>Joined Ahrar al-Sham in 2017</t>
  </si>
  <si>
    <t>Liwa al-Haqq (Dar'a)</t>
  </si>
  <si>
    <t>No match for Liwa al-Haqq in Dar'a. If in Homs or Idlib, group merged into Ahrar al-Sham first, then (possibly) Tahrir al-Sham. Source: http://web.stanford.edu/group/mappingmilitants/cgi-bin/groups/view/529</t>
  </si>
  <si>
    <t>Liwa al-Hurriyah al-Islami</t>
  </si>
  <si>
    <t>https://www.arrahmah.com/2013/07/16/mujahidin-islam-dan-fsa-menggelar-operasi-gabungan-skala-besar-di-idlib/</t>
  </si>
  <si>
    <t>No explicit connection to any group, only source that contains the name of this group is cited. Additional source: https://www.arrahmah.com/2013/07/16/mortar-mujahidin-menghantam-pangkalan-militer-rezim-suriah-di-idlib/</t>
  </si>
  <si>
    <t>MDA: Deir ez-Zor Military Council</t>
  </si>
  <si>
    <t>http://en.deirezzor24.net/who-is-abu-khawla-al-diri-that-appeared-recently-as-the-commander-of-the-sdf-linked-deir-ezzor-military-council/</t>
  </si>
  <si>
    <t>Also see: https://en.wikipedia.org/wiki/Syrian_Democratic_Forces_military_councils</t>
  </si>
  <si>
    <t>MIlitia (Pro-Government)</t>
  </si>
  <si>
    <t>Note that the group is likely acting on behalf of government forces but may not be technically in the official army</t>
  </si>
  <si>
    <t>MLKP: Marxist-Leninist Communist Party</t>
  </si>
  <si>
    <t>https://web.archive.org/web/20150211120154/http://en.firatnews.com/news/news/preparations-for-international-brigade-in-rojava.htm</t>
  </si>
  <si>
    <t>Have been involved with the YPG in Rojava</t>
  </si>
  <si>
    <t>Martyr Ali Zin Abdin Brigade</t>
  </si>
  <si>
    <t>https://twitter.com/QalaatAlMudiq/status/932300418088087552</t>
  </si>
  <si>
    <t>No sources other than tweets and Syria Livemap</t>
  </si>
  <si>
    <t>Menbij Military Council</t>
  </si>
  <si>
    <t>https://en.wikipedia.org/wiki/Syrian_Democratic_Forces_military_councils#Manbij</t>
  </si>
  <si>
    <t>Middle Division</t>
  </si>
  <si>
    <t>https://rfsmediaoffice.com/en/2017/08/21/fsa-factions-announce-willingness-participate-liberation-deirezzor/</t>
  </si>
  <si>
    <t>Military Forces of Iran</t>
  </si>
  <si>
    <t>https://en.wikipedia.org/wiki/Armed_Forces_of_the_Islamic_Republic_of_Iran</t>
  </si>
  <si>
    <t>Military Forces of Iraq</t>
  </si>
  <si>
    <t>Military Forces of Israel</t>
  </si>
  <si>
    <t>https://en.wikipedia.org/wiki/Israel_Defense_Forces</t>
  </si>
  <si>
    <t>Military Forces of Russia</t>
  </si>
  <si>
    <t>https://en.wikipedia.org/wiki/Russian_Armed_Forces</t>
  </si>
  <si>
    <t>https://en.wikipedia.org/wiki/Syrian_Armed_Forces</t>
  </si>
  <si>
    <t>Military Forces of Turkey</t>
  </si>
  <si>
    <t>Military Forces of United States</t>
  </si>
  <si>
    <t>Militia (Pro-Government)</t>
  </si>
  <si>
    <t>Militia (Pro-Regime)</t>
  </si>
  <si>
    <t>Mountain of Islam Brigade</t>
  </si>
  <si>
    <t>https://en.wikipedia.org/wiki/Mountain_Hawks_Brigade</t>
  </si>
  <si>
    <t>Closest found was Mountain Hawks Brigade</t>
  </si>
  <si>
    <t>Mujahideen of Horan</t>
  </si>
  <si>
    <t>http://news.trust.org/item/20160111233208-m6boy</t>
  </si>
  <si>
    <t>Muntasr Billah Battalion</t>
  </si>
  <si>
    <t>Muslim Brotherhood (Syria)</t>
  </si>
  <si>
    <t>http://www.mepc.org/journal/role-muslim-brotherhood-syrian-civil-war</t>
  </si>
  <si>
    <t>Not part of any of the 19 umbrella organizations</t>
  </si>
  <si>
    <t>Mutiny</t>
  </si>
  <si>
    <t>QSS: Youth of Sunna Forces</t>
  </si>
  <si>
    <t>National Front for the Liberation of Syria</t>
  </si>
  <si>
    <t>Omari Brigades</t>
  </si>
  <si>
    <t>Faylaq al Majd</t>
  </si>
  <si>
    <t>Operation Euphrates Shield</t>
  </si>
  <si>
    <t>https://en.wikipedia.org/wiki/Operation_Euphrates_Shield</t>
  </si>
  <si>
    <t>Mostly Turkish military and Turkish-aligned Syrian groups, but unclear if I should code these as such.</t>
  </si>
  <si>
    <t>Operation Olive Branch</t>
  </si>
  <si>
    <t>https://en.wikipedia.org/wiki/Turkish_military_operation_in_Afrin</t>
  </si>
  <si>
    <t>Same as above - unclear how to code</t>
  </si>
  <si>
    <t>Opposition Rebels</t>
  </si>
  <si>
    <t>No clear identification, closest probably Free Syrian Army (FSA)</t>
  </si>
  <si>
    <t>PLA: Palestine Liberation Army</t>
  </si>
  <si>
    <t>http://www.scoop.co.nz/stories/WO1207/S00485/hamas-slams-killing-of-palestinian-troops-in-syria.htm</t>
  </si>
  <si>
    <t>Police Forces of Syria (2000-)</t>
  </si>
  <si>
    <t>Vague, assumed to be within military forces of Syria</t>
  </si>
  <si>
    <t>Popular Committees</t>
  </si>
  <si>
    <t>Private Security Forces</t>
  </si>
  <si>
    <t>QDW: National Defense Forces</t>
  </si>
  <si>
    <t>https://ctc.usma.edu/the-non-state-militant-landscape-in-syria/</t>
  </si>
  <si>
    <t>Pro-government militia. Additional source: https://en.wikipedia.org/wiki/National_Defence_Forces_(Syria)</t>
  </si>
  <si>
    <t>QSD: Syrian Democratic Forces</t>
  </si>
  <si>
    <t>Quads Brigade</t>
  </si>
  <si>
    <t>https://www.reuters.com/article/us-mideast-crisis-syria-terrorist/syrian-terrorist-list-produces-163-names-and-no-agreement-idUSKCN0VQ25E</t>
  </si>
  <si>
    <t>Name does not match exactly, I am assuming Quads Brigade is Quds Force. Only entry with "Quads Brigade" is a tweet at this link: https://twitter.com/HKX07/status/657549456464744449</t>
  </si>
  <si>
    <t>Raqqa Internal Security Forces</t>
  </si>
  <si>
    <t>http://www.kurdistan24.net/en/news/b4a6e17c-14b3-43dd-908d-d98869026d9d</t>
  </si>
  <si>
    <t>Repel the Invaders Operation Room</t>
  </si>
  <si>
    <t>https://nedaa-sy.com/en/news/4064</t>
  </si>
  <si>
    <t>No clear match to any specific group; formed in Feb 2018 of around 11 rebel groups. Another source: http://www.understandingwar.org/sites/default/files/Syria%20SITREP%20JAN%2024%20-%20FEB%207.pdf</t>
  </si>
  <si>
    <t>Revolutionaries of Manbij Brigades</t>
  </si>
  <si>
    <t>https://en.wikipedia.org/wiki/Manbij_Revolutionaries_Battalion</t>
  </si>
  <si>
    <t>Revolutionary Command Council of Quneitra and the Golan</t>
  </si>
  <si>
    <t>http://www.sandiegouniontribune.com/sdut-syrian-opposition-appoints-new-military-chief-2014feb17-story.html</t>
  </si>
  <si>
    <t>Uncertain tie to FSA</t>
  </si>
  <si>
    <t>Samarkand Brigade</t>
  </si>
  <si>
    <t>https://www.enabbaladi.net/archives/87078</t>
  </si>
  <si>
    <t>Translated from Arabic to English using Google Translate</t>
  </si>
  <si>
    <t>Security Executive Force</t>
  </si>
  <si>
    <t>http://www.syriahr.com/en/?p=68586</t>
  </si>
  <si>
    <t>No identification</t>
  </si>
  <si>
    <t>ShahadaÃÂÃÂ Al-Horriyyah Brigade</t>
  </si>
  <si>
    <t>http://www.syriahr.com/en/?p=68831</t>
  </si>
  <si>
    <t>Only one record online, seems like it was fighting with Ahrar al-Sham and Tahrir al-sham against Islamic State. If one source is correct, the group split off from FSA in 2013: https://www.longwarjournal.org/archives/2013/10/free_syrian_army_con.php</t>
  </si>
  <si>
    <t>Shaitat Tribal Militia (Syria)</t>
  </si>
  <si>
    <t>http://www.middleeasteye.net/news/who-are-pro-assad-militias-syria-2030619965</t>
  </si>
  <si>
    <t>Joined Military Forces of Syria after an ISIS massacre in their town</t>
  </si>
  <si>
    <t>Sham Al Rasul Brigade</t>
  </si>
  <si>
    <t>http://syriadirect.org/news/is-in-yarmouk-camp-after-entering-through-nusra-checkpoints/</t>
  </si>
  <si>
    <t>Sham Legion</t>
  </si>
  <si>
    <t>Group withdrew from Jaysh al-Fatah in 2016, reasserting its independence</t>
  </si>
  <si>
    <t>Sham al-Rasul Brigade</t>
  </si>
  <si>
    <t>http://syriadirect.org/news/fsa-defections-continue-in-southern-damascus/</t>
  </si>
  <si>
    <t>Shiite Muslim Militia (Syria)</t>
  </si>
  <si>
    <t>Will have to explore further to assign to group(s)</t>
  </si>
  <si>
    <t>ShuhadaÃÂÃÂa al-Qaryatayn Brigade</t>
  </si>
  <si>
    <t>https://southfront.org/more-details-about-isis-attack-on-syrias-al-qaryatayn-and-situation-there/</t>
  </si>
  <si>
    <t>Group split from "US-led coalition" in Aug 2017</t>
  </si>
  <si>
    <t>Southern Front</t>
  </si>
  <si>
    <t>Sultan Murad Division</t>
  </si>
  <si>
    <t>https://en.wikipedia.org/wiki/Sultan_Murad_Division</t>
  </si>
  <si>
    <t>Sultan Suleiman Shah Brigade (Syria)</t>
  </si>
  <si>
    <t>https://syrianwardaily.com/2017/11/24/syrian-war-daily-24th-of-november-2017/</t>
  </si>
  <si>
    <t>Suquor al-Sham</t>
  </si>
  <si>
    <t>https://en.wikipedia.org/wiki/Suqour_al-Sham_Brigades</t>
  </si>
  <si>
    <t>Closely linked to Ahrar al-Sham, not in any of the designated subgroups</t>
  </si>
  <si>
    <t>Syrian Arab Coalition (SAC)</t>
  </si>
  <si>
    <t>https://www.reuters.com/article/us-mideast-crisis-syria-kurds/new-syrian-rebel-alliance-formed-says-weapons-on-the-way-idUSKCN0S60BD20151012</t>
  </si>
  <si>
    <t>Arab forces in the SDF</t>
  </si>
  <si>
    <t>Syrian Elite Forces</t>
  </si>
  <si>
    <t>http://www.atlanticcouncil.org/blogs/syriasource/the-syrian-elite-forces-and-the-battle-for-raqqa</t>
  </si>
  <si>
    <t>Group is officially in the US-led international coalition to fight ISIS</t>
  </si>
  <si>
    <t>Syrian Republican Guard</t>
  </si>
  <si>
    <t>https://en.wikipedia.org/wiki/Republican_Guard_(Syria)</t>
  </si>
  <si>
    <t>TIP: Turkistan Islamic Party</t>
  </si>
  <si>
    <t>https://www.longwarjournal.org/archives/2018/03/turkistan-islamic-party-highlights-joint-raids-with-the-afghan-taliban.php</t>
  </si>
  <si>
    <t>linked, but not necessarily part of, Al Qaeda. Source: https://www.longwarjournal.org/archives/2017/02/uighur-jihadist-fought-in-afghanistan-killed-in-syria.php</t>
  </si>
  <si>
    <t>They Were Wronged Operations Room</t>
  </si>
  <si>
    <t>https://nedaa-sy.com/en/news/3519</t>
  </si>
  <si>
    <t>Seems like Operations Room was made by alliance of Ahrar al-Sham and Faylaq al-Rahman. Tenuous connection, therefore "B" rating</t>
  </si>
  <si>
    <t>Union of the Forces of Mount Hermon</t>
  </si>
  <si>
    <t>https://www.reuters.com/article/us-mideast-crisis-syria-israel/syrian-iranian-backed-forces-advance-in-border-area-near-israel-idUSKBN1EJ024</t>
  </si>
  <si>
    <t>YPG: Peoples Protection Units</t>
  </si>
  <si>
    <t>https://en.wikipedia.org/wiki/People%27s_Protection_Units</t>
  </si>
  <si>
    <t>YPJ: Women's Protection Units</t>
  </si>
  <si>
    <t>https://en.wikipedia.org/wiki/Women%27s_Protection_Units</t>
  </si>
  <si>
    <t>Yarmouk Martyrs Brigade</t>
  </si>
  <si>
    <t>Link to ISIS alleged. Wikipedia page: https://en.wikipedia.org/wiki/Yarmouk_Martyrs_Brigade</t>
  </si>
  <si>
    <t>Actor</t>
  </si>
  <si>
    <t>Counts</t>
  </si>
  <si>
    <t>Umbrella</t>
  </si>
  <si>
    <t>Comment</t>
  </si>
  <si>
    <t>Islamic State in Iraq and the Levant (ISIL)</t>
  </si>
  <si>
    <t>The Islamic State</t>
  </si>
  <si>
    <t>Opposition Rebels (Syria)</t>
  </si>
  <si>
    <t>Unidentified Armed Group (Syria)</t>
  </si>
  <si>
    <t>HTS: Hayat Tahrir al Sham</t>
  </si>
  <si>
    <t>Military Forces of Turkey (2016-)</t>
  </si>
  <si>
    <t>Military Forces of Russia (2000-)</t>
  </si>
  <si>
    <t>Operation Peace Spring</t>
  </si>
  <si>
    <t>AAS: Ahrar al Sham</t>
  </si>
  <si>
    <t>QDW: National Defence Forces</t>
  </si>
  <si>
    <t>Al Fath Al Mubeen Operation Room</t>
  </si>
  <si>
    <t>Tribal and Clan Forces</t>
  </si>
  <si>
    <t>FaR: Al Rahman Corps</t>
  </si>
  <si>
    <t>Former Opposition Rebels (Syria)</t>
  </si>
  <si>
    <t>Jaysh al Islam</t>
  </si>
  <si>
    <t>Militia (Pro-Iran)</t>
  </si>
  <si>
    <t>Khalid ibn al Walid Army</t>
  </si>
  <si>
    <t>JTW: National Liberation Front</t>
  </si>
  <si>
    <t>National Police Forces</t>
  </si>
  <si>
    <t>Military Forces of the United States (2017-2021)</t>
  </si>
  <si>
    <t>HNDZ: Nour al Din al Zinki Movement</t>
  </si>
  <si>
    <t>Harakat Nour al-Din al-Zenki</t>
  </si>
  <si>
    <t>Military Forces of the United States (2017-2021) Special Forces</t>
  </si>
  <si>
    <t>Military Operations Command</t>
  </si>
  <si>
    <t>Suquor al Sham</t>
  </si>
  <si>
    <t>Military Forces of Iran (1989-) Islamic Revolutionary Guard Corps</t>
  </si>
  <si>
    <t>HXP: Self-Defence Forces</t>
  </si>
  <si>
    <t>Ahrar al Sharqiyah</t>
  </si>
  <si>
    <t>MDA: Deir-ez-Zor Military Council</t>
  </si>
  <si>
    <t>Jabhat Fateh al Sham</t>
  </si>
  <si>
    <t>Police Forces of Syria (2000-2024)</t>
  </si>
  <si>
    <t>Police Forces of Syria (2000-2024) State Security</t>
  </si>
  <si>
    <t>Military Forces of the United Kingdom (2010-2024)</t>
  </si>
  <si>
    <t>UK</t>
  </si>
  <si>
    <t>Jaysh al Nasr</t>
  </si>
  <si>
    <t>Hamza Brigade</t>
  </si>
  <si>
    <t>Smugglers (Syria)</t>
  </si>
  <si>
    <t>Former Operation Euphrates Shield</t>
  </si>
  <si>
    <t>Hurras al Deen</t>
  </si>
  <si>
    <t>Ahmad al Abdo Forces</t>
  </si>
  <si>
    <t>YPG: Peoples Protection Units - Anti-Terror Unit</t>
  </si>
  <si>
    <t>Peoples Protection Units</t>
  </si>
  <si>
    <t>Liberation Army of Afrin</t>
  </si>
  <si>
    <t>Qaterji Militia</t>
  </si>
  <si>
    <t>Jaysh al Ahrar</t>
  </si>
  <si>
    <t>Ansar al Tawhid</t>
  </si>
  <si>
    <t>Al Mu'tasim Brigade</t>
  </si>
  <si>
    <t>Militia (Refugees/IDPs)</t>
  </si>
  <si>
    <t>Unidentified Military Forces</t>
  </si>
  <si>
    <t>Tal Tamer Military Council</t>
  </si>
  <si>
    <t>Former Operation Olive Branch</t>
  </si>
  <si>
    <t>Sharqiya Army</t>
  </si>
  <si>
    <t>Jaysh al Thani</t>
  </si>
  <si>
    <t>Al Bab Military Council</t>
  </si>
  <si>
    <t>Southern Operations Room</t>
  </si>
  <si>
    <t>Wa Harredh al Moa'mineen Operation Room</t>
  </si>
  <si>
    <t>QSD: Syrian Democratic Forces - Intelligence</t>
  </si>
  <si>
    <t>Dar'a Popular Resistance</t>
  </si>
  <si>
    <t>Military Forces of the United States (2021-2025)</t>
  </si>
  <si>
    <t>Former Islamic State in Iraq and the Levant (ISIL)</t>
  </si>
  <si>
    <t>Liwa al Baqir</t>
  </si>
  <si>
    <t>Police Forces of Turkey (2016-) National Intelligence Organization</t>
  </si>
  <si>
    <t>Military Forces of Iran (1989-)</t>
  </si>
  <si>
    <t>Police Forces of Syria (2000-2024) Political Intelligence</t>
  </si>
  <si>
    <t>Al Wosta Division</t>
  </si>
  <si>
    <t>Northern Hawks Brigade</t>
  </si>
  <si>
    <t>Banyan al Marsus</t>
  </si>
  <si>
    <t>Syrian Liberation Front</t>
  </si>
  <si>
    <t>Military Forces of France (2017-)</t>
  </si>
  <si>
    <t>Police Forces of Syria (2024-)</t>
  </si>
  <si>
    <t>LAS: Northern Storm Brigade</t>
  </si>
  <si>
    <t>Military Forces of Israel (2022-)</t>
  </si>
  <si>
    <t>Lions of the East</t>
  </si>
  <si>
    <t>Police Forces of Syria (2000-2024) General Intelligence Directorate</t>
  </si>
  <si>
    <t>Jaysh al Nukhba</t>
  </si>
  <si>
    <t>Military Forces of Lebanon (2016-2019)</t>
  </si>
  <si>
    <t>Liwa al Aqsa</t>
  </si>
  <si>
    <t>Hajin Military Council</t>
  </si>
  <si>
    <t>Union of the Forces of Jabal al Sheikh</t>
  </si>
  <si>
    <t>20th Division</t>
  </si>
  <si>
    <t/>
  </si>
  <si>
    <t>Harakat Hezbollah Al Nujaba</t>
  </si>
  <si>
    <t>Al Shahba Assembly</t>
  </si>
  <si>
    <t>Military Forces of Turkey (2016-) Gendarmerie</t>
  </si>
  <si>
    <t>Ajnad al Sham Islamic Union</t>
  </si>
  <si>
    <t>Quneitra Hawks</t>
  </si>
  <si>
    <t>Military Forces of Jordan (1999-)</t>
  </si>
  <si>
    <t>Liwa Fajr al Umma</t>
  </si>
  <si>
    <t>Shuhada Badr</t>
  </si>
  <si>
    <t>Private Security Forces (Syria)</t>
  </si>
  <si>
    <t>Abu Bakr as-Siddiq Army</t>
  </si>
  <si>
    <t>QSF: Qalamoon Shield Forces</t>
  </si>
  <si>
    <t>Islamist Militia (International)</t>
  </si>
  <si>
    <t>Syriac Military Council (Syria)</t>
  </si>
  <si>
    <t>Sheikh al-Karama</t>
  </si>
  <si>
    <t>Ajnad al Sham</t>
  </si>
  <si>
    <t>YPG: Peoples Protection Units - Hezen Komandoz</t>
  </si>
  <si>
    <t>Military Forces of Iraq (2020-2022) Popular Mobilization Forces</t>
  </si>
  <si>
    <t>Syriac Security Office (Syria)</t>
  </si>
  <si>
    <t>50th Division</t>
  </si>
  <si>
    <t>Omar Ibn Al-Khattab Army</t>
  </si>
  <si>
    <t>Former Mutaaz Billah Army</t>
  </si>
  <si>
    <t>Military Forces of Iraq (2014-2018) Popular Mobilization Forces</t>
  </si>
  <si>
    <t>Harakat Tahrir Wal Bina'e</t>
  </si>
  <si>
    <t>Rijal al Karama</t>
  </si>
  <si>
    <t>Ahrar Jabal al Sheikh</t>
  </si>
  <si>
    <t>JaS: Al Sanadid Forces (Syria)</t>
  </si>
  <si>
    <t>Jaysh al-Sanadeed</t>
  </si>
  <si>
    <t>Liwa Sham al Rasul</t>
  </si>
  <si>
    <t>PKK: Kurdistan Workers Party</t>
  </si>
  <si>
    <t>Al Akrad Front</t>
  </si>
  <si>
    <t>Kurdish Front</t>
  </si>
  <si>
    <t>Military Forces of Israel (2021-2022)</t>
  </si>
  <si>
    <t>Fathbatou Operation Room</t>
  </si>
  <si>
    <t>Othman Bin Affan Brigade</t>
  </si>
  <si>
    <t>Ansar al Islam</t>
  </si>
  <si>
    <t>JaA: Tribes Army</t>
  </si>
  <si>
    <t>Ansar Abu Bakr al Saddiq Brigade</t>
  </si>
  <si>
    <t>Sultan Mohammad Al Fateh Division (Syria)</t>
  </si>
  <si>
    <t>Former Free Syrian Army</t>
  </si>
  <si>
    <t>Zainabiyoun Brigade</t>
  </si>
  <si>
    <t>Thae'roun Movement</t>
  </si>
  <si>
    <t>FUS: Lions of Sunnah Division</t>
  </si>
  <si>
    <t>Military Forces of the United States (2009-2017)</t>
  </si>
  <si>
    <t>Thuwar al Sham Battalion</t>
  </si>
  <si>
    <t>Islamic Resistance in Iraq</t>
  </si>
  <si>
    <t>Military Forces of Iraq (2014-2018)</t>
  </si>
  <si>
    <t>Former Khalid ibn al Walid Army (Syria)</t>
  </si>
  <si>
    <t>Abna al Sham (Hama)</t>
  </si>
  <si>
    <t>Assyrian Military Council (Syria)</t>
  </si>
  <si>
    <t>QSD: Syrian Democratic Forces Military Police</t>
  </si>
  <si>
    <t>Shuhada al Qaryatayn Brigade</t>
  </si>
  <si>
    <t>YPG: Peoples Protection Units - Special Task Forces</t>
  </si>
  <si>
    <t>Mutiny of Islamic State in Iraq and the Levant (ISIL)</t>
  </si>
  <si>
    <t>Sultan Malek Shah Brigade</t>
  </si>
  <si>
    <t>JTR: Front of Raqqa Revolutionaries</t>
  </si>
  <si>
    <t>Mahjeh Communal Militia</t>
  </si>
  <si>
    <t>Syrian Free Army</t>
  </si>
  <si>
    <t>Aknaf Bait al Maqdis</t>
  </si>
  <si>
    <t>LAFA: Abu Al Fadhal al Abbas Brigade</t>
  </si>
  <si>
    <t>Military Forces of Israel (2009-2021)</t>
  </si>
  <si>
    <t>Sham Liberation Army</t>
  </si>
  <si>
    <t>Sa'ad Ibn Abi Waqqas Brigade (Syria)</t>
  </si>
  <si>
    <t>JFS: Al Nusra Front (Muhammad Brigade)</t>
  </si>
  <si>
    <t>Mutiny of QSD: Syrian Democratic Forces</t>
  </si>
  <si>
    <t>Northern Democratic Forces</t>
  </si>
  <si>
    <t>Former QSD: Syrian Democratic Forces</t>
  </si>
  <si>
    <t>Al Haramain Brigade</t>
  </si>
  <si>
    <t>Ras al Sufuf Operations Room</t>
  </si>
  <si>
    <t>Military Forces of Iraq (2018-2020)</t>
  </si>
  <si>
    <t>Former AAS: Ahrar al Sham</t>
  </si>
  <si>
    <t>Jaysh al Shaab</t>
  </si>
  <si>
    <t>Military Forces of Russia (2000-) Military Police</t>
  </si>
  <si>
    <t>Sham al-Islam</t>
  </si>
  <si>
    <t>Falcons of al-Ghab</t>
  </si>
  <si>
    <t>MFS: Syriac Military Council</t>
  </si>
  <si>
    <t>?</t>
  </si>
  <si>
    <t>Muawya Ben Abi Sufyan Brigade (Syria)</t>
  </si>
  <si>
    <t>Kataib Hezbollah (Iraq)</t>
  </si>
  <si>
    <t>Al Khattab Brigade</t>
  </si>
  <si>
    <t>Ar-Raqqa Military Council</t>
  </si>
  <si>
    <t>Der'e al Hasakeh</t>
  </si>
  <si>
    <t>Hamza Bin Abdul Muttalib Brigade</t>
  </si>
  <si>
    <t>Al Shamal Brigade</t>
  </si>
  <si>
    <t>Former HTS: Hayat Tahrir al Sham</t>
  </si>
  <si>
    <t>Abdul Rahman Bin 'aouf</t>
  </si>
  <si>
    <t>Shuhada'a Al-Sharqiyyah Division</t>
  </si>
  <si>
    <t>1st Brigade</t>
  </si>
  <si>
    <t>Al Na'im Tribal Militia</t>
  </si>
  <si>
    <t>Idleb Revolutionaries Brigade (Syria)</t>
  </si>
  <si>
    <t>Ali Bin Abi Taleb Brigade</t>
  </si>
  <si>
    <t>Omar Bin Al 'as Brigade</t>
  </si>
  <si>
    <t>Jaysh al Tawhid</t>
  </si>
  <si>
    <t>Jund Allah</t>
  </si>
  <si>
    <t>Al Ghab Brigade</t>
  </si>
  <si>
    <t>Al Muwali Brigade (Syria)</t>
  </si>
  <si>
    <t>Al Waqqas Brigade (Syria)</t>
  </si>
  <si>
    <t>Liwaa AL Waqas</t>
  </si>
  <si>
    <t>Liwa al Fatah</t>
  </si>
  <si>
    <t>Azim Operation Room</t>
  </si>
  <si>
    <t>Quwwat al Fajr</t>
  </si>
  <si>
    <t>JWS: Syrian National Army- 2nd Corps</t>
  </si>
  <si>
    <t>x</t>
  </si>
  <si>
    <t>Al Fahed Forces (Syria)</t>
  </si>
  <si>
    <t>Liwa al Hurriyah al Islami</t>
  </si>
  <si>
    <t>Menbij Internal Security Forces</t>
  </si>
  <si>
    <t>Refugees/IDPs (Syria)</t>
  </si>
  <si>
    <t>51st Brigade</t>
  </si>
  <si>
    <t>Unidentified Armed Group (Lebanon)</t>
  </si>
  <si>
    <t>Liwa al Safira</t>
  </si>
  <si>
    <t>Military Forces of Russia (2000-) Special Forces</t>
  </si>
  <si>
    <t>Anti Terrorism Brigade</t>
  </si>
  <si>
    <t>Wagner Group</t>
  </si>
  <si>
    <t>AAK: Ajnad al Kavkaz</t>
  </si>
  <si>
    <t>Al Jawaana Tribal Militia Syria)</t>
  </si>
  <si>
    <t>Abu Al Fadl Al Abbas Forces</t>
  </si>
  <si>
    <t>KNC: Kurdish National Council</t>
  </si>
  <si>
    <t>1st Infantry Division</t>
  </si>
  <si>
    <t>Humat Al-Aqeeda (Syria)</t>
  </si>
  <si>
    <t>Al Tabqa Military Council</t>
  </si>
  <si>
    <t>Jund al Aqsa</t>
  </si>
  <si>
    <t>Liwa Samarkand</t>
  </si>
  <si>
    <t>Khalid bin al-Walid Battalions (Syria)</t>
  </si>
  <si>
    <t>23rd Division</t>
  </si>
  <si>
    <t>Military Forces of Italy (2018-2022)</t>
  </si>
  <si>
    <t>Daraya Unit</t>
  </si>
  <si>
    <t>Ahrar al-Hasakeh Gathering</t>
  </si>
  <si>
    <t>Al-A'saib Al-Hamraa (Syria)</t>
  </si>
  <si>
    <t>Military Forces of Iraq (2022-) Counter-Terrorism Service</t>
  </si>
  <si>
    <t>Al Nayrab Regiment</t>
  </si>
  <si>
    <t>Jaafar bin Abi Talib Brigade</t>
  </si>
  <si>
    <t>Mutiny of HTS: Hayat Tahrir al Sham</t>
  </si>
  <si>
    <t>KDP-S: Kurdistan Democratic Party-Syria</t>
  </si>
  <si>
    <t>Zubayir Bin Al 'awam Brigade</t>
  </si>
  <si>
    <t>Saraya Dir' Al Thawra</t>
  </si>
  <si>
    <t>Liwa' Al Hashemiyoun (Syria)</t>
  </si>
  <si>
    <t>Military Forces of France (2012-2017)</t>
  </si>
  <si>
    <t>Mutiny of FaR: Al Rahman Corps</t>
  </si>
  <si>
    <t>Deir-ez-Zor Revolutionaries Gathering</t>
  </si>
  <si>
    <t>Liwa al Fursan</t>
  </si>
  <si>
    <t>Jaysh Al-Qura</t>
  </si>
  <si>
    <t>PYD: Kurdish Democratic Union Party (Syria)</t>
  </si>
  <si>
    <t>Talha Bin Obied Allah Brigade (Syria)</t>
  </si>
  <si>
    <t>Northern Sun Battalion</t>
  </si>
  <si>
    <t>Police Forces of Jordan (1999-) Gendarmerie</t>
  </si>
  <si>
    <t>Shahada al Horriyyah Brigade</t>
  </si>
  <si>
    <t>Military Forces of Iraq (2020-2022)</t>
  </si>
  <si>
    <t>JWS: Syrian National Army- 1st Corps</t>
  </si>
  <si>
    <t>Al Zbir Ben AL Awam Brigade (Syria)</t>
  </si>
  <si>
    <t>Jaysh Al Ahfad</t>
  </si>
  <si>
    <t>Former JFS: Al Nusra Front</t>
  </si>
  <si>
    <t>QaL: Galilee Forces</t>
  </si>
  <si>
    <t>Ahl al Diyar Operations Room</t>
  </si>
  <si>
    <t>Mutiny of Hamza Brigade</t>
  </si>
  <si>
    <t>Ba'ath Party (Syria)</t>
  </si>
  <si>
    <t>2nd Coastal Division</t>
  </si>
  <si>
    <t>Liwa al Haqq (Dar'a)</t>
  </si>
  <si>
    <t>Fawj Maghawir al Badiya</t>
  </si>
  <si>
    <t>Hizb Ettahrir</t>
  </si>
  <si>
    <t>Former Youth of Sunna Forces</t>
  </si>
  <si>
    <t>Former Alwiya al Furqan</t>
  </si>
  <si>
    <t>Al Hafl Militia</t>
  </si>
  <si>
    <t>Unidentified Armed Group (Iraq)</t>
  </si>
  <si>
    <t>Salahuddin Battalion</t>
  </si>
  <si>
    <t>YDG-H: Patriotic Revolutionary Youth Movement</t>
  </si>
  <si>
    <t>18 March Division</t>
  </si>
  <si>
    <t>Prisoners (Syria)</t>
  </si>
  <si>
    <t>Syrian Salvation Government</t>
  </si>
  <si>
    <t>Adwan Brigade (Syria)</t>
  </si>
  <si>
    <t>Mutiny of YPG: Peoples Protection Units</t>
  </si>
  <si>
    <t>Homs Operation Room</t>
  </si>
  <si>
    <t>Military Council</t>
  </si>
  <si>
    <t>Unidentified Armed Group (International)</t>
  </si>
  <si>
    <t>Syrian Resistance</t>
  </si>
  <si>
    <t>Former JaY: Yarmouk Army</t>
  </si>
  <si>
    <t>Military Forces of Iraq (2022-) Popular Mobilization Forces</t>
  </si>
  <si>
    <t>Former HNDZ: Nour al Din al Zinki Movement</t>
  </si>
  <si>
    <t>Former Ababil Horan Battalion (Syria)</t>
  </si>
  <si>
    <t>Al Maghawir Division</t>
  </si>
  <si>
    <t>Shiite Muslim Militia (Iraq)</t>
  </si>
  <si>
    <t>Lions of Tribes (Syria)</t>
  </si>
  <si>
    <t>Basira Brigade</t>
  </si>
  <si>
    <t>Former Liwa Al Haqq (Dar'a)</t>
  </si>
  <si>
    <t>Ansar al Din Front (Syria)</t>
  </si>
  <si>
    <t>Hananu Shield (Syria)</t>
  </si>
  <si>
    <t>The South Central Operations Room</t>
  </si>
  <si>
    <t>Private Security Forces (Russia)</t>
  </si>
  <si>
    <t>Katibat Jabal al Islam</t>
  </si>
  <si>
    <t>Reconciliation Committee Members (Syria)</t>
  </si>
  <si>
    <t>Former Revolutionary Army</t>
  </si>
  <si>
    <t>Military Forces of Lebanon (2021-)</t>
  </si>
  <si>
    <t>Hesn Al Watan Militia</t>
  </si>
  <si>
    <t>Former Tribes Army</t>
  </si>
  <si>
    <t>Al-Maghawir Forces</t>
  </si>
  <si>
    <t>Ansar al Sham Battalion</t>
  </si>
  <si>
    <t>Former FFaI: Dawn of Islam Division</t>
  </si>
  <si>
    <t>Khalid ibn al Walid Brigade</t>
  </si>
  <si>
    <t>Former Shuhada Al-Asimah Brigade</t>
  </si>
  <si>
    <t>Military Forces of Russia (2000-) Special Operations Command</t>
  </si>
  <si>
    <t>JSH: Free Syrian Army - Al Jura Martyrs</t>
  </si>
  <si>
    <t>Secret Task Force</t>
  </si>
  <si>
    <t>Former JAA: Army of Free Tribes</t>
  </si>
  <si>
    <t>Saad bin Zayid (Syria)</t>
  </si>
  <si>
    <t>Saraya Khalid bin al-Walid</t>
  </si>
  <si>
    <t>Ahrar Al Shummar Brigade</t>
  </si>
  <si>
    <t>JaI: Islamic Front</t>
  </si>
  <si>
    <t>PIJ: Palestinian Islamic Jihad</t>
  </si>
  <si>
    <t>Suqur al-Sunnah</t>
  </si>
  <si>
    <t>Northern Syria Brigade</t>
  </si>
  <si>
    <t>Saraya Burkan Al Furat</t>
  </si>
  <si>
    <t>Mutiny of Hamza Division - Aleppo</t>
  </si>
  <si>
    <t>37th Division</t>
  </si>
  <si>
    <t>Al Siddiq Battalion</t>
  </si>
  <si>
    <t>Kataib Jaafar Al Tayyar</t>
  </si>
  <si>
    <t>Liwa Menbij</t>
  </si>
  <si>
    <t>Abi 'obayda Bin Al Jarrah Brigade</t>
  </si>
  <si>
    <t>Ahrar Jabal al-Arab Gathering</t>
  </si>
  <si>
    <t>Armored Brigade (Syria)</t>
  </si>
  <si>
    <t>Zaza Battalion</t>
  </si>
  <si>
    <t>Albu Hamid Tribal Group (Syria)</t>
  </si>
  <si>
    <t>Military Forces of the United States (2017-2021) Marine Corps</t>
  </si>
  <si>
    <t>Former Asayish (Syria)</t>
  </si>
  <si>
    <t>Mutiny of Al Siddiq Battalion</t>
  </si>
  <si>
    <t>Khabur Guards</t>
  </si>
  <si>
    <t>Military Forces of the United Kingdom (2010-2024) Special Forces</t>
  </si>
  <si>
    <t>Saraqeb Revolutionary Front</t>
  </si>
  <si>
    <t>Farmers (Syria)</t>
  </si>
  <si>
    <t>Liwa Haydaryoun</t>
  </si>
  <si>
    <t>Ajnad Sharqiya</t>
  </si>
  <si>
    <t>106th Division</t>
  </si>
  <si>
    <t>5th Corps</t>
  </si>
  <si>
    <t>Jaysh Suquor (Syria)</t>
  </si>
  <si>
    <t>North Brigade (Syria)</t>
  </si>
  <si>
    <t>Ahrar Goweiran (Syria)</t>
  </si>
  <si>
    <t>Former Ahrar Nawa Brigade</t>
  </si>
  <si>
    <t>Bayareq al Islam Brigade</t>
  </si>
  <si>
    <t>Jund Al Islam Battalion</t>
  </si>
  <si>
    <t>Homs Resistance Brigades (Syria)</t>
  </si>
  <si>
    <t>Former Al Rahman Corps</t>
  </si>
  <si>
    <t>Former Qasioun Brigades</t>
  </si>
  <si>
    <t>Jaysh Khorasan</t>
  </si>
  <si>
    <t>JFS: Al Nusra Front</t>
  </si>
  <si>
    <t>Ar-Raqqa Civil Council</t>
  </si>
  <si>
    <t>Former Police Forces of Syria (2000-2024)</t>
  </si>
  <si>
    <t>Former Liwa al Karama</t>
  </si>
  <si>
    <t>Former JaT: Revolutionary Army</t>
  </si>
  <si>
    <t>Former JTS: Syrian Revolutionaries Front</t>
  </si>
  <si>
    <t>Former Fallujat Hauran Division</t>
  </si>
  <si>
    <t>Jarabulus Customs Directorate (Syria)</t>
  </si>
  <si>
    <t>Iz al Islam Battalion</t>
  </si>
  <si>
    <t>Al Muwali Tribal Group (Syria)</t>
  </si>
  <si>
    <t>Katibat Ahrar al Janub</t>
  </si>
  <si>
    <t>LSR: Raqqa Hawks Brigade</t>
  </si>
  <si>
    <t>Mutaaz Billah Army</t>
  </si>
  <si>
    <t>JaM: Army of Monotheists (Syria)</t>
  </si>
  <si>
    <t>Jund Badr 313</t>
  </si>
  <si>
    <t>Ghuraba al Janob</t>
  </si>
  <si>
    <t>Jaysh al Badia</t>
  </si>
  <si>
    <t>Tall Kalakh Martyrs Battalion</t>
  </si>
  <si>
    <t>JaY: Yarmouk Army</t>
  </si>
  <si>
    <t>Smugglers (Lebanon)</t>
  </si>
  <si>
    <t>Tribes Army</t>
  </si>
  <si>
    <t>Fauj al Haramoun</t>
  </si>
  <si>
    <t>Al Bustan Militia</t>
  </si>
  <si>
    <t>Ansar Al Hajjah Brigade</t>
  </si>
  <si>
    <t>Druze Assault Squads</t>
  </si>
  <si>
    <t>HTW: National Liberation Movement</t>
  </si>
  <si>
    <t>Jaysh Halab</t>
  </si>
  <si>
    <t>Al Nakhba Army</t>
  </si>
  <si>
    <t>Unidentified Armed Group (Turkey)</t>
  </si>
  <si>
    <t>Liwa Tawhid al Janoub</t>
  </si>
  <si>
    <t>Military Forces of the United States (2009-2017) Special Forces</t>
  </si>
  <si>
    <t>Abu Hamza al Nuami Brigade</t>
  </si>
  <si>
    <t>Al Malahim Division</t>
  </si>
  <si>
    <t>Homeland Protection Forces</t>
  </si>
  <si>
    <t>Ajnad al Hasakah</t>
  </si>
  <si>
    <t>LSS: Desert Hawks Brigade</t>
  </si>
  <si>
    <t>Al Moataz Bellah Division</t>
  </si>
  <si>
    <t>Unidentified Armed Group (Jordan)</t>
  </si>
  <si>
    <t>Abna al Sham (Idleb)</t>
  </si>
  <si>
    <t>Police Forces of Turkey (2016-)</t>
  </si>
  <si>
    <t>Tawhid Wal Al Jihad Battalion</t>
  </si>
  <si>
    <t>Liwa Al Jabal</t>
  </si>
  <si>
    <t>Former Hamza Division - Aleppo</t>
  </si>
  <si>
    <t>Former Militia (Pro-Iran)</t>
  </si>
  <si>
    <t>Kata'eb Sharqiya</t>
  </si>
  <si>
    <t>Former Southern Front</t>
  </si>
  <si>
    <t>Damascus Gathering</t>
  </si>
  <si>
    <t>Former Hurras al Deen</t>
  </si>
  <si>
    <t>JaT: Revolutionary Army</t>
  </si>
  <si>
    <t>Teachers (Syria)</t>
  </si>
  <si>
    <t>Al Mahasen Tribal Militia</t>
  </si>
  <si>
    <t>Shuhada Al Hasakeh (Syria)</t>
  </si>
  <si>
    <t>Sayyid al Shuhada Brigade</t>
  </si>
  <si>
    <t>26 Division (Mughawir Al Sham)</t>
  </si>
  <si>
    <t>Liwa al Mukhtar Al Thaqafi</t>
  </si>
  <si>
    <t>Bedouin Ethnic Group (Syria)</t>
  </si>
  <si>
    <t>Zayid bin Haritha Brigade (Syria)</t>
  </si>
  <si>
    <t>Former QDW: National Defence Forces</t>
  </si>
  <si>
    <t>Former Hamza Brigade</t>
  </si>
  <si>
    <t>Abdullah bin Unais</t>
  </si>
  <si>
    <t>UNDOF: United Nations Disengagement Observer Force (1974-)</t>
  </si>
  <si>
    <t>Al Sham Division</t>
  </si>
  <si>
    <t>Kataib Nusra Dar'a</t>
  </si>
  <si>
    <t>Liwa Shuhahda' Saraqab</t>
  </si>
  <si>
    <t>Mutiny of AAS: Ahrar al Sham</t>
  </si>
  <si>
    <t>Alwiya al Furqan</t>
  </si>
  <si>
    <t>Harakat al Qiyam</t>
  </si>
  <si>
    <t>Malhama Tactical</t>
  </si>
  <si>
    <t>Count</t>
  </si>
  <si>
    <t>Military Forces of the United Kingdom (2010-)</t>
  </si>
  <si>
    <t>Former Islamic State (Syria)</t>
  </si>
  <si>
    <t>Military Forces of the United States (2021-)</t>
  </si>
  <si>
    <t>Military Forces of Iran (1989-) Quds Force</t>
  </si>
  <si>
    <t>Islamic State (Iraq)</t>
  </si>
  <si>
    <t>Mutiny of Islamic State (Syria)</t>
  </si>
  <si>
    <t>Islamic State (International)</t>
  </si>
  <si>
    <t>UN: United Nations</t>
  </si>
  <si>
    <t>Military Forces of the United Kingdom (2010-) Special Forces</t>
  </si>
  <si>
    <t>Liwa al-Tawhid</t>
  </si>
  <si>
    <t>Matching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</si>
</sst>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theme="1"/>
      <name val="Aptos Narrow"/>
      <family val="2"/>
      <scheme val="minor"/>
    </font>
    <font>
      <sz val="10"/>
      <color rgb="FF000000"/>
      <name val="Helvetica Neue"/>
      <family val="2"/>
    </font>
    <font>
      <b/>
      <sz val="10"/>
      <color rgb="FF000000"/>
      <name val="Helvetica Neue"/>
      <family val="2"/>
    </font>
    <font>
      <sz val="11"/>
      <color theme="1"/>
      <name val="Aptos"/>
    </font>
    <font>
      <sz val="11"/>
      <color rgb="FF000000"/>
      <name val="Aptos"/>
    </font>
    <font>
      <b/>
      <sz val="12"/>
      <color theme="1"/>
      <name val="Aptos Narrow"/>
      <scheme val="minor"/>
    </font>
    <font>
      <sz val="13"/>
      <color theme="1"/>
      <name val="Var(--jp-code-font-family)"/>
    </font>
    <font>
      <sz val="12"/>
      <color rgb="FF000000"/>
      <name val="Aptos"/>
    </font>
    <font>
      <sz val="12"/>
      <color theme="1"/>
      <name val="Aptos"/>
    </font>
    <font>
      <b/>
      <sz val="12"/>
      <color theme="1"/>
      <name val="Aptos Narrow"/>
      <family val="2"/>
      <scheme val="minor"/>
    </font>
    <font>
      <b/>
      <sz val="12"/>
      <color theme="1"/>
      <name val="Helvetica"/>
      <family val="2"/>
    </font>
    <font>
      <sz val="11"/>
      <color rgb="FF000000"/>
      <name val="Aptos Narrow"/>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2" fillId="0" borderId="0" xfId="0" applyFont="1"/>
    <xf numFmtId="0" fontId="1" fillId="0" borderId="0" xfId="0" applyFont="1"/>
    <xf numFmtId="0" fontId="3" fillId="0" borderId="0" xfId="0" applyFont="1"/>
    <xf numFmtId="0" fontId="4" fillId="0" borderId="0" xfId="0" applyFont="1"/>
    <xf numFmtId="0" fontId="5" fillId="0" borderId="0" xfId="0" applyFont="1"/>
    <xf numFmtId="0" fontId="0" fillId="0" borderId="1" xfId="0" applyBorder="1"/>
    <xf numFmtId="0" fontId="0" fillId="2" borderId="0" xfId="0" applyFill="1"/>
    <xf numFmtId="0" fontId="6" fillId="0" borderId="0" xfId="0" applyFont="1"/>
    <xf numFmtId="0" fontId="7" fillId="0" borderId="0" xfId="0" applyFont="1"/>
    <xf numFmtId="0" fontId="8" fillId="2" borderId="0" xfId="0" applyFont="1" applyFill="1"/>
    <xf numFmtId="0" fontId="10" fillId="0" borderId="0" xfId="0" applyFont="1"/>
    <xf numFmtId="0" fontId="9" fillId="0" borderId="0" xfId="0" applyFont="1"/>
    <xf numFmtId="0" fontId="1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D07FF-9620-BE4D-9E70-0E6E5C069963}">
  <dimension ref="A1:Q164"/>
  <sheetViews>
    <sheetView topLeftCell="A144" workbookViewId="0">
      <selection activeCell="D28" sqref="D28"/>
    </sheetView>
  </sheetViews>
  <sheetFormatPr baseColWidth="10" defaultColWidth="11.1640625" defaultRowHeight="16"/>
  <cols>
    <col min="1" max="2" width="25.1640625" customWidth="1"/>
  </cols>
  <sheetData>
    <row r="1" spans="1:17">
      <c r="A1" t="s">
        <v>0</v>
      </c>
      <c r="B1" t="s">
        <v>1</v>
      </c>
      <c r="C1" t="s">
        <v>2</v>
      </c>
      <c r="D1" t="s">
        <v>3</v>
      </c>
      <c r="E1" t="s">
        <v>4</v>
      </c>
      <c r="F1" t="s">
        <v>5</v>
      </c>
      <c r="G1" t="s">
        <v>6</v>
      </c>
      <c r="H1" t="s">
        <v>7</v>
      </c>
      <c r="I1" t="s">
        <v>8</v>
      </c>
      <c r="J1" t="s">
        <v>9</v>
      </c>
      <c r="N1" t="s">
        <v>10</v>
      </c>
      <c r="P1" t="s">
        <v>11</v>
      </c>
    </row>
    <row r="2" spans="1:17">
      <c r="A2" t="s">
        <v>12</v>
      </c>
      <c r="B2" t="s">
        <v>13</v>
      </c>
      <c r="E2">
        <v>6</v>
      </c>
      <c r="H2" t="s">
        <v>14</v>
      </c>
      <c r="I2" t="s">
        <v>15</v>
      </c>
      <c r="J2" t="s">
        <v>16</v>
      </c>
      <c r="L2" s="6" t="s">
        <v>17</v>
      </c>
      <c r="M2" s="6">
        <v>1</v>
      </c>
      <c r="N2" s="6"/>
      <c r="O2" s="6"/>
      <c r="P2" s="6"/>
      <c r="Q2" s="6"/>
    </row>
    <row r="3" spans="1:17">
      <c r="A3" t="s">
        <v>18</v>
      </c>
      <c r="B3" t="s">
        <v>13</v>
      </c>
      <c r="E3">
        <v>6</v>
      </c>
      <c r="H3" t="s">
        <v>14</v>
      </c>
      <c r="I3" t="s">
        <v>19</v>
      </c>
      <c r="J3" t="s">
        <v>20</v>
      </c>
      <c r="L3" s="6" t="s">
        <v>21</v>
      </c>
      <c r="M3" s="6">
        <v>2</v>
      </c>
      <c r="N3" s="6" t="s">
        <v>22</v>
      </c>
      <c r="O3" s="6"/>
      <c r="P3" s="6" t="s">
        <v>13</v>
      </c>
      <c r="Q3" s="6"/>
    </row>
    <row r="4" spans="1:17">
      <c r="A4" t="s">
        <v>23</v>
      </c>
      <c r="B4" t="s">
        <v>13</v>
      </c>
      <c r="E4">
        <v>6</v>
      </c>
      <c r="H4" t="s">
        <v>14</v>
      </c>
      <c r="I4" t="s">
        <v>24</v>
      </c>
      <c r="L4" s="6" t="s">
        <v>25</v>
      </c>
      <c r="M4" s="6">
        <v>3</v>
      </c>
      <c r="N4" s="6" t="s">
        <v>22</v>
      </c>
      <c r="O4" s="6"/>
      <c r="P4" s="6" t="s">
        <v>13</v>
      </c>
      <c r="Q4" s="6"/>
    </row>
    <row r="5" spans="1:17">
      <c r="A5" t="s">
        <v>26</v>
      </c>
      <c r="B5" t="s">
        <v>27</v>
      </c>
      <c r="E5">
        <v>12</v>
      </c>
      <c r="H5" t="s">
        <v>14</v>
      </c>
      <c r="I5" t="s">
        <v>28</v>
      </c>
      <c r="J5" t="s">
        <v>29</v>
      </c>
      <c r="L5" s="6" t="s">
        <v>30</v>
      </c>
      <c r="M5" s="6">
        <v>4</v>
      </c>
      <c r="N5" s="6" t="s">
        <v>22</v>
      </c>
      <c r="O5" s="6"/>
      <c r="P5" s="6" t="s">
        <v>13</v>
      </c>
      <c r="Q5" s="6"/>
    </row>
    <row r="6" spans="1:17">
      <c r="A6" t="s">
        <v>31</v>
      </c>
      <c r="B6" t="s">
        <v>13</v>
      </c>
      <c r="E6">
        <v>6</v>
      </c>
      <c r="H6" t="s">
        <v>14</v>
      </c>
      <c r="I6" t="s">
        <v>32</v>
      </c>
      <c r="J6" t="s">
        <v>33</v>
      </c>
      <c r="L6" s="6" t="s">
        <v>34</v>
      </c>
      <c r="M6" s="6">
        <v>5</v>
      </c>
      <c r="N6" s="6" t="s">
        <v>22</v>
      </c>
      <c r="O6" s="6"/>
      <c r="P6" s="6" t="s">
        <v>13</v>
      </c>
      <c r="Q6" s="6"/>
    </row>
    <row r="7" spans="1:17">
      <c r="A7" t="s">
        <v>35</v>
      </c>
      <c r="B7" t="s">
        <v>13</v>
      </c>
      <c r="E7">
        <v>6</v>
      </c>
      <c r="H7" t="s">
        <v>14</v>
      </c>
      <c r="I7" t="s">
        <v>36</v>
      </c>
      <c r="L7" s="6" t="s">
        <v>37</v>
      </c>
      <c r="M7" s="6">
        <v>6</v>
      </c>
      <c r="N7" s="6" t="s">
        <v>22</v>
      </c>
      <c r="O7" s="6"/>
      <c r="P7" s="6" t="s">
        <v>13</v>
      </c>
      <c r="Q7" s="6"/>
    </row>
    <row r="8" spans="1:17">
      <c r="A8" t="s">
        <v>38</v>
      </c>
      <c r="B8" t="s">
        <v>39</v>
      </c>
      <c r="E8">
        <v>20</v>
      </c>
      <c r="H8" t="s">
        <v>14</v>
      </c>
      <c r="I8" t="s">
        <v>40</v>
      </c>
      <c r="J8" t="s">
        <v>41</v>
      </c>
      <c r="L8" s="6" t="s">
        <v>42</v>
      </c>
      <c r="M8" s="6">
        <v>7</v>
      </c>
      <c r="N8" s="6" t="s">
        <v>22</v>
      </c>
      <c r="O8" s="6"/>
      <c r="P8" s="6" t="s">
        <v>13</v>
      </c>
      <c r="Q8" s="6"/>
    </row>
    <row r="9" spans="1:17">
      <c r="A9" t="s">
        <v>43</v>
      </c>
      <c r="H9" t="s">
        <v>44</v>
      </c>
      <c r="J9" t="s">
        <v>45</v>
      </c>
      <c r="L9" s="6" t="s">
        <v>46</v>
      </c>
      <c r="M9" s="6">
        <v>8</v>
      </c>
      <c r="N9" s="6"/>
      <c r="O9" s="6"/>
      <c r="P9" s="6" t="s">
        <v>34</v>
      </c>
      <c r="Q9" s="6"/>
    </row>
    <row r="10" spans="1:17">
      <c r="A10" t="s">
        <v>47</v>
      </c>
      <c r="B10" t="s">
        <v>30</v>
      </c>
      <c r="E10">
        <v>4</v>
      </c>
      <c r="H10" t="s">
        <v>44</v>
      </c>
      <c r="I10" t="s">
        <v>48</v>
      </c>
      <c r="L10" s="6"/>
      <c r="M10" s="6"/>
      <c r="N10" s="6"/>
      <c r="O10" s="6"/>
      <c r="P10" s="6"/>
      <c r="Q10" s="6"/>
    </row>
    <row r="11" spans="1:17">
      <c r="A11" t="s">
        <v>49</v>
      </c>
      <c r="B11" t="s">
        <v>13</v>
      </c>
      <c r="E11">
        <v>6</v>
      </c>
      <c r="H11" t="s">
        <v>14</v>
      </c>
      <c r="I11" t="s">
        <v>50</v>
      </c>
      <c r="L11" s="6" t="s">
        <v>51</v>
      </c>
      <c r="M11" s="6">
        <v>9</v>
      </c>
      <c r="N11" s="6" t="s">
        <v>52</v>
      </c>
      <c r="O11" s="6"/>
      <c r="P11" s="6" t="s">
        <v>53</v>
      </c>
      <c r="Q11" s="6" t="s">
        <v>54</v>
      </c>
    </row>
    <row r="12" spans="1:17">
      <c r="A12" t="s">
        <v>55</v>
      </c>
      <c r="B12" t="s">
        <v>27</v>
      </c>
      <c r="E12">
        <v>12</v>
      </c>
      <c r="H12" t="s">
        <v>14</v>
      </c>
      <c r="I12" t="s">
        <v>56</v>
      </c>
      <c r="L12" s="6" t="s">
        <v>57</v>
      </c>
      <c r="M12" s="6">
        <v>10</v>
      </c>
      <c r="N12" s="6" t="s">
        <v>52</v>
      </c>
      <c r="O12" s="6"/>
      <c r="P12" s="6" t="s">
        <v>54</v>
      </c>
      <c r="Q12" s="6"/>
    </row>
    <row r="13" spans="1:17">
      <c r="A13" t="s">
        <v>58</v>
      </c>
      <c r="B13" t="s">
        <v>13</v>
      </c>
      <c r="E13">
        <v>6</v>
      </c>
      <c r="H13" t="s">
        <v>14</v>
      </c>
      <c r="I13" t="s">
        <v>59</v>
      </c>
      <c r="J13" t="s">
        <v>60</v>
      </c>
      <c r="L13" s="6" t="s">
        <v>61</v>
      </c>
      <c r="M13" s="6">
        <v>11</v>
      </c>
      <c r="N13" s="6" t="s">
        <v>62</v>
      </c>
      <c r="O13" s="6"/>
      <c r="P13" s="6" t="s">
        <v>63</v>
      </c>
      <c r="Q13" s="6" t="s">
        <v>64</v>
      </c>
    </row>
    <row r="14" spans="1:17">
      <c r="A14" t="s">
        <v>65</v>
      </c>
      <c r="B14" t="s">
        <v>27</v>
      </c>
      <c r="E14">
        <v>12</v>
      </c>
      <c r="H14" t="s">
        <v>14</v>
      </c>
      <c r="I14" t="s">
        <v>66</v>
      </c>
      <c r="L14" s="6" t="s">
        <v>27</v>
      </c>
      <c r="M14" s="6">
        <v>12</v>
      </c>
      <c r="N14" s="6" t="s">
        <v>67</v>
      </c>
      <c r="O14" s="6"/>
      <c r="P14" s="6" t="s">
        <v>63</v>
      </c>
      <c r="Q14" s="6"/>
    </row>
    <row r="15" spans="1:17">
      <c r="A15" t="s">
        <v>68</v>
      </c>
      <c r="B15" t="s">
        <v>13</v>
      </c>
      <c r="E15">
        <v>6</v>
      </c>
      <c r="H15" t="s">
        <v>14</v>
      </c>
      <c r="I15" t="s">
        <v>59</v>
      </c>
      <c r="J15" t="s">
        <v>60</v>
      </c>
      <c r="L15" s="6" t="s">
        <v>69</v>
      </c>
      <c r="M15" s="6">
        <v>13</v>
      </c>
      <c r="N15" s="6"/>
      <c r="O15" s="6"/>
      <c r="P15" s="6"/>
      <c r="Q15" s="6"/>
    </row>
    <row r="16" spans="1:17">
      <c r="A16" t="s">
        <v>46</v>
      </c>
      <c r="B16" t="s">
        <v>46</v>
      </c>
      <c r="E16">
        <v>8</v>
      </c>
      <c r="H16" t="s">
        <v>14</v>
      </c>
      <c r="I16" t="s">
        <v>40</v>
      </c>
      <c r="L16" s="6" t="s">
        <v>70</v>
      </c>
      <c r="M16" s="6">
        <v>14</v>
      </c>
      <c r="N16" s="6"/>
      <c r="O16" s="6"/>
      <c r="P16" s="6"/>
      <c r="Q16" s="6"/>
    </row>
    <row r="17" spans="1:17">
      <c r="A17" t="s">
        <v>71</v>
      </c>
      <c r="H17" t="s">
        <v>44</v>
      </c>
      <c r="I17" t="s">
        <v>72</v>
      </c>
      <c r="J17" t="s">
        <v>73</v>
      </c>
      <c r="L17" s="6" t="s">
        <v>64</v>
      </c>
      <c r="M17" s="6">
        <v>15</v>
      </c>
      <c r="N17" s="6"/>
      <c r="O17" s="6"/>
      <c r="P17" s="6"/>
      <c r="Q17" s="6"/>
    </row>
    <row r="18" spans="1:17">
      <c r="A18" t="s">
        <v>74</v>
      </c>
      <c r="H18" t="s">
        <v>44</v>
      </c>
      <c r="I18" t="s">
        <v>72</v>
      </c>
      <c r="J18" t="s">
        <v>75</v>
      </c>
      <c r="L18" s="6" t="s">
        <v>54</v>
      </c>
      <c r="M18" s="6">
        <v>16</v>
      </c>
      <c r="N18" s="6"/>
      <c r="O18" s="6"/>
      <c r="P18" s="6"/>
      <c r="Q18" s="6"/>
    </row>
    <row r="19" spans="1:17">
      <c r="A19" t="s">
        <v>76</v>
      </c>
      <c r="B19" t="s">
        <v>61</v>
      </c>
      <c r="E19">
        <v>11</v>
      </c>
      <c r="H19" t="s">
        <v>14</v>
      </c>
      <c r="I19" t="s">
        <v>77</v>
      </c>
      <c r="J19" t="s">
        <v>78</v>
      </c>
      <c r="L19" s="6" t="s">
        <v>79</v>
      </c>
      <c r="M19" s="6">
        <v>17</v>
      </c>
      <c r="N19" s="6"/>
      <c r="O19" s="6"/>
      <c r="P19" s="6"/>
      <c r="Q19" s="6"/>
    </row>
    <row r="20" spans="1:17">
      <c r="A20" t="s">
        <v>17</v>
      </c>
      <c r="B20" t="s">
        <v>17</v>
      </c>
      <c r="E20">
        <v>1</v>
      </c>
      <c r="H20" t="s">
        <v>14</v>
      </c>
      <c r="I20" t="s">
        <v>40</v>
      </c>
      <c r="L20" s="6" t="s">
        <v>63</v>
      </c>
      <c r="M20" s="6">
        <v>18</v>
      </c>
      <c r="N20" s="6"/>
      <c r="O20" s="6"/>
      <c r="P20" s="6"/>
      <c r="Q20" s="6"/>
    </row>
    <row r="21" spans="1:17">
      <c r="A21" t="s">
        <v>80</v>
      </c>
      <c r="H21" t="s">
        <v>44</v>
      </c>
      <c r="I21" t="s">
        <v>81</v>
      </c>
      <c r="J21" t="s">
        <v>82</v>
      </c>
      <c r="L21" s="6" t="s">
        <v>83</v>
      </c>
      <c r="M21" s="6">
        <v>19</v>
      </c>
      <c r="N21" s="6"/>
      <c r="O21" s="6"/>
      <c r="P21" s="6"/>
      <c r="Q21" s="6"/>
    </row>
    <row r="22" spans="1:17">
      <c r="A22" t="s">
        <v>84</v>
      </c>
      <c r="B22" t="s">
        <v>61</v>
      </c>
      <c r="E22">
        <v>11</v>
      </c>
      <c r="H22" t="s">
        <v>14</v>
      </c>
      <c r="I22" t="s">
        <v>77</v>
      </c>
      <c r="J22" t="s">
        <v>78</v>
      </c>
      <c r="L22" s="6" t="s">
        <v>39</v>
      </c>
      <c r="M22" s="6">
        <v>20</v>
      </c>
      <c r="N22" s="6" t="s">
        <v>22</v>
      </c>
      <c r="O22" s="6"/>
      <c r="P22" s="6" t="s">
        <v>13</v>
      </c>
      <c r="Q22" s="6"/>
    </row>
    <row r="23" spans="1:17">
      <c r="A23" t="s">
        <v>85</v>
      </c>
      <c r="B23" t="s">
        <v>13</v>
      </c>
      <c r="E23">
        <v>6</v>
      </c>
      <c r="H23" t="s">
        <v>14</v>
      </c>
      <c r="I23" t="s">
        <v>86</v>
      </c>
      <c r="J23" t="s">
        <v>87</v>
      </c>
    </row>
    <row r="24" spans="1:17">
      <c r="A24" t="s">
        <v>88</v>
      </c>
      <c r="B24" t="s">
        <v>70</v>
      </c>
      <c r="E24">
        <v>14</v>
      </c>
      <c r="H24" t="s">
        <v>14</v>
      </c>
      <c r="I24" t="s">
        <v>89</v>
      </c>
      <c r="J24" t="s">
        <v>90</v>
      </c>
    </row>
    <row r="25" spans="1:17">
      <c r="A25" t="s">
        <v>91</v>
      </c>
      <c r="H25" t="s">
        <v>44</v>
      </c>
      <c r="I25" t="s">
        <v>81</v>
      </c>
      <c r="J25" t="s">
        <v>92</v>
      </c>
    </row>
    <row r="26" spans="1:17">
      <c r="A26" t="s">
        <v>93</v>
      </c>
      <c r="H26" t="s">
        <v>44</v>
      </c>
      <c r="J26" t="s">
        <v>94</v>
      </c>
    </row>
    <row r="27" spans="1:17">
      <c r="A27" t="s">
        <v>95</v>
      </c>
      <c r="B27" t="s">
        <v>13</v>
      </c>
      <c r="E27">
        <v>6</v>
      </c>
      <c r="H27" t="s">
        <v>14</v>
      </c>
      <c r="I27" t="s">
        <v>96</v>
      </c>
    </row>
    <row r="28" spans="1:17">
      <c r="A28" t="s">
        <v>97</v>
      </c>
      <c r="B28" t="s">
        <v>70</v>
      </c>
      <c r="E28">
        <v>14</v>
      </c>
      <c r="H28" t="s">
        <v>98</v>
      </c>
      <c r="J28" t="s">
        <v>99</v>
      </c>
    </row>
    <row r="29" spans="1:17">
      <c r="A29" t="s">
        <v>100</v>
      </c>
      <c r="H29" t="s">
        <v>44</v>
      </c>
      <c r="I29" t="s">
        <v>101</v>
      </c>
      <c r="J29" t="s">
        <v>102</v>
      </c>
    </row>
    <row r="30" spans="1:17">
      <c r="A30" t="s">
        <v>103</v>
      </c>
      <c r="B30" t="s">
        <v>70</v>
      </c>
      <c r="E30">
        <v>14</v>
      </c>
      <c r="H30" t="s">
        <v>14</v>
      </c>
      <c r="I30" t="s">
        <v>104</v>
      </c>
    </row>
    <row r="31" spans="1:17" s="7" customFormat="1">
      <c r="A31" s="7" t="s">
        <v>105</v>
      </c>
      <c r="B31" s="10" t="s">
        <v>106</v>
      </c>
      <c r="E31" s="7">
        <v>6</v>
      </c>
      <c r="H31" s="7" t="s">
        <v>14</v>
      </c>
      <c r="I31" s="7" t="s">
        <v>107</v>
      </c>
      <c r="J31" s="7" t="s">
        <v>108</v>
      </c>
    </row>
    <row r="32" spans="1:17">
      <c r="A32" t="s">
        <v>109</v>
      </c>
      <c r="H32" t="s">
        <v>44</v>
      </c>
      <c r="J32" t="s">
        <v>110</v>
      </c>
    </row>
    <row r="33" spans="1:10">
      <c r="A33" t="s">
        <v>111</v>
      </c>
      <c r="B33" t="s">
        <v>61</v>
      </c>
      <c r="E33">
        <v>11</v>
      </c>
      <c r="H33" t="s">
        <v>98</v>
      </c>
      <c r="I33" t="s">
        <v>112</v>
      </c>
      <c r="J33" t="s">
        <v>113</v>
      </c>
    </row>
    <row r="34" spans="1:10">
      <c r="A34" t="s">
        <v>114</v>
      </c>
      <c r="B34" t="s">
        <v>70</v>
      </c>
      <c r="E34">
        <v>14</v>
      </c>
      <c r="H34" t="s">
        <v>98</v>
      </c>
      <c r="I34" t="s">
        <v>115</v>
      </c>
      <c r="J34" t="s">
        <v>116</v>
      </c>
    </row>
    <row r="35" spans="1:10">
      <c r="A35" t="s">
        <v>117</v>
      </c>
      <c r="B35" t="s">
        <v>61</v>
      </c>
      <c r="E35">
        <v>11</v>
      </c>
      <c r="H35" t="s">
        <v>14</v>
      </c>
      <c r="I35" t="s">
        <v>118</v>
      </c>
      <c r="J35" t="s">
        <v>119</v>
      </c>
    </row>
    <row r="36" spans="1:10">
      <c r="A36" t="s">
        <v>120</v>
      </c>
      <c r="B36" t="s">
        <v>13</v>
      </c>
      <c r="E36">
        <v>6</v>
      </c>
      <c r="H36" t="s">
        <v>14</v>
      </c>
      <c r="I36" t="s">
        <v>121</v>
      </c>
    </row>
    <row r="37" spans="1:10">
      <c r="A37" t="s">
        <v>122</v>
      </c>
      <c r="H37" t="s">
        <v>44</v>
      </c>
      <c r="J37" t="s">
        <v>123</v>
      </c>
    </row>
    <row r="38" spans="1:10">
      <c r="A38" t="s">
        <v>124</v>
      </c>
      <c r="B38" t="s">
        <v>70</v>
      </c>
      <c r="E38">
        <v>14</v>
      </c>
      <c r="H38" t="s">
        <v>44</v>
      </c>
      <c r="I38" t="s">
        <v>48</v>
      </c>
    </row>
    <row r="39" spans="1:10">
      <c r="A39" t="s">
        <v>125</v>
      </c>
      <c r="B39" t="s">
        <v>13</v>
      </c>
      <c r="E39">
        <v>6</v>
      </c>
      <c r="H39" t="s">
        <v>14</v>
      </c>
      <c r="I39" t="s">
        <v>126</v>
      </c>
    </row>
    <row r="40" spans="1:10">
      <c r="A40" t="s">
        <v>127</v>
      </c>
      <c r="B40" t="s">
        <v>13</v>
      </c>
      <c r="E40">
        <v>6</v>
      </c>
      <c r="H40" t="s">
        <v>14</v>
      </c>
      <c r="I40" t="s">
        <v>128</v>
      </c>
      <c r="J40" t="s">
        <v>129</v>
      </c>
    </row>
    <row r="41" spans="1:10">
      <c r="A41" t="s">
        <v>130</v>
      </c>
      <c r="B41" t="s">
        <v>42</v>
      </c>
      <c r="E41">
        <v>7</v>
      </c>
      <c r="H41" t="s">
        <v>14</v>
      </c>
      <c r="I41" t="s">
        <v>40</v>
      </c>
      <c r="J41" t="s">
        <v>131</v>
      </c>
    </row>
    <row r="42" spans="1:10">
      <c r="A42" t="s">
        <v>132</v>
      </c>
      <c r="B42" t="s">
        <v>57</v>
      </c>
      <c r="E42">
        <v>10</v>
      </c>
      <c r="H42" t="s">
        <v>44</v>
      </c>
      <c r="I42" t="s">
        <v>48</v>
      </c>
    </row>
    <row r="43" spans="1:10">
      <c r="A43" t="s">
        <v>133</v>
      </c>
      <c r="B43" t="s">
        <v>13</v>
      </c>
      <c r="E43">
        <v>6</v>
      </c>
      <c r="H43" t="s">
        <v>14</v>
      </c>
      <c r="I43" t="s">
        <v>134</v>
      </c>
      <c r="J43" t="s">
        <v>135</v>
      </c>
    </row>
    <row r="44" spans="1:10">
      <c r="A44" t="s">
        <v>136</v>
      </c>
      <c r="B44" t="s">
        <v>70</v>
      </c>
      <c r="E44">
        <v>14</v>
      </c>
      <c r="H44" t="s">
        <v>14</v>
      </c>
      <c r="I44" t="s">
        <v>137</v>
      </c>
    </row>
    <row r="45" spans="1:10">
      <c r="A45" t="s">
        <v>138</v>
      </c>
      <c r="B45" t="s">
        <v>13</v>
      </c>
      <c r="E45">
        <v>6</v>
      </c>
      <c r="H45" t="s">
        <v>14</v>
      </c>
      <c r="I45" t="s">
        <v>139</v>
      </c>
      <c r="J45" t="s">
        <v>140</v>
      </c>
    </row>
    <row r="46" spans="1:10">
      <c r="A46" t="s">
        <v>141</v>
      </c>
      <c r="B46" t="s">
        <v>13</v>
      </c>
      <c r="E46">
        <v>6</v>
      </c>
      <c r="H46" t="s">
        <v>14</v>
      </c>
      <c r="I46" t="s">
        <v>142</v>
      </c>
    </row>
    <row r="47" spans="1:10">
      <c r="A47" t="s">
        <v>143</v>
      </c>
      <c r="H47" t="s">
        <v>44</v>
      </c>
      <c r="I47" t="s">
        <v>144</v>
      </c>
      <c r="J47" t="s">
        <v>145</v>
      </c>
    </row>
    <row r="48" spans="1:10">
      <c r="A48" t="s">
        <v>146</v>
      </c>
      <c r="H48" t="s">
        <v>44</v>
      </c>
      <c r="I48" t="s">
        <v>147</v>
      </c>
      <c r="J48" t="s">
        <v>148</v>
      </c>
    </row>
    <row r="49" spans="1:10">
      <c r="A49" t="s">
        <v>149</v>
      </c>
      <c r="H49" t="s">
        <v>44</v>
      </c>
      <c r="I49" t="s">
        <v>150</v>
      </c>
    </row>
    <row r="50" spans="1:10">
      <c r="A50" t="s">
        <v>151</v>
      </c>
      <c r="B50" t="s">
        <v>70</v>
      </c>
      <c r="E50">
        <v>14</v>
      </c>
      <c r="H50" t="s">
        <v>14</v>
      </c>
      <c r="I50" t="s">
        <v>48</v>
      </c>
    </row>
    <row r="51" spans="1:10">
      <c r="A51" t="s">
        <v>152</v>
      </c>
      <c r="B51" t="s">
        <v>70</v>
      </c>
      <c r="E51">
        <v>14</v>
      </c>
      <c r="H51" t="s">
        <v>14</v>
      </c>
      <c r="I51" t="s">
        <v>153</v>
      </c>
    </row>
    <row r="52" spans="1:10">
      <c r="A52" t="s">
        <v>154</v>
      </c>
      <c r="B52" t="s">
        <v>79</v>
      </c>
      <c r="E52">
        <v>17</v>
      </c>
      <c r="H52" t="s">
        <v>98</v>
      </c>
      <c r="I52" t="s">
        <v>155</v>
      </c>
      <c r="J52" t="s">
        <v>156</v>
      </c>
    </row>
    <row r="53" spans="1:10">
      <c r="A53" t="s">
        <v>157</v>
      </c>
      <c r="B53" t="s">
        <v>79</v>
      </c>
      <c r="E53">
        <v>17</v>
      </c>
      <c r="H53" t="s">
        <v>98</v>
      </c>
      <c r="I53" t="s">
        <v>155</v>
      </c>
      <c r="J53" t="s">
        <v>156</v>
      </c>
    </row>
    <row r="54" spans="1:10">
      <c r="A54" t="s">
        <v>158</v>
      </c>
      <c r="B54" t="s">
        <v>69</v>
      </c>
      <c r="E54">
        <v>13</v>
      </c>
      <c r="H54" t="s">
        <v>98</v>
      </c>
      <c r="I54" t="s">
        <v>159</v>
      </c>
      <c r="J54" t="s">
        <v>160</v>
      </c>
    </row>
    <row r="55" spans="1:10">
      <c r="A55" t="s">
        <v>161</v>
      </c>
      <c r="B55" t="s">
        <v>13</v>
      </c>
      <c r="E55">
        <v>6</v>
      </c>
      <c r="H55" t="s">
        <v>14</v>
      </c>
      <c r="I55" t="s">
        <v>162</v>
      </c>
      <c r="J55" t="s">
        <v>163</v>
      </c>
    </row>
    <row r="56" spans="1:10">
      <c r="A56" t="s">
        <v>164</v>
      </c>
      <c r="H56" t="s">
        <v>44</v>
      </c>
      <c r="I56" t="s">
        <v>165</v>
      </c>
      <c r="J56" t="s">
        <v>166</v>
      </c>
    </row>
    <row r="57" spans="1:10">
      <c r="A57" t="s">
        <v>167</v>
      </c>
      <c r="H57" t="s">
        <v>44</v>
      </c>
      <c r="I57" t="s">
        <v>168</v>
      </c>
      <c r="J57" t="s">
        <v>169</v>
      </c>
    </row>
    <row r="58" spans="1:10">
      <c r="A58" t="s">
        <v>170</v>
      </c>
      <c r="B58" t="s">
        <v>61</v>
      </c>
      <c r="E58">
        <v>11</v>
      </c>
      <c r="H58" t="s">
        <v>14</v>
      </c>
      <c r="I58" t="s">
        <v>171</v>
      </c>
      <c r="J58" t="s">
        <v>172</v>
      </c>
    </row>
    <row r="59" spans="1:10">
      <c r="A59" t="s">
        <v>173</v>
      </c>
      <c r="B59" t="s">
        <v>13</v>
      </c>
      <c r="E59">
        <v>6</v>
      </c>
      <c r="H59" t="s">
        <v>14</v>
      </c>
      <c r="I59" t="s">
        <v>174</v>
      </c>
    </row>
    <row r="60" spans="1:10">
      <c r="A60" t="s">
        <v>175</v>
      </c>
      <c r="B60" t="s">
        <v>51</v>
      </c>
      <c r="E60">
        <v>9</v>
      </c>
      <c r="H60" t="s">
        <v>14</v>
      </c>
      <c r="I60" t="s">
        <v>176</v>
      </c>
    </row>
    <row r="61" spans="1:10">
      <c r="A61" t="s">
        <v>57</v>
      </c>
      <c r="B61" t="s">
        <v>57</v>
      </c>
      <c r="E61">
        <v>10</v>
      </c>
      <c r="H61" t="s">
        <v>14</v>
      </c>
      <c r="I61" t="s">
        <v>40</v>
      </c>
    </row>
    <row r="62" spans="1:10">
      <c r="A62" t="s">
        <v>177</v>
      </c>
      <c r="B62" t="s">
        <v>70</v>
      </c>
      <c r="E62">
        <v>14</v>
      </c>
      <c r="H62" t="s">
        <v>14</v>
      </c>
      <c r="I62" t="s">
        <v>178</v>
      </c>
    </row>
    <row r="63" spans="1:10">
      <c r="A63" t="s">
        <v>179</v>
      </c>
      <c r="B63" t="s">
        <v>17</v>
      </c>
      <c r="E63">
        <v>1</v>
      </c>
      <c r="H63" t="s">
        <v>44</v>
      </c>
      <c r="I63" t="s">
        <v>48</v>
      </c>
    </row>
    <row r="64" spans="1:10">
      <c r="A64" t="s">
        <v>180</v>
      </c>
      <c r="B64" t="s">
        <v>17</v>
      </c>
      <c r="E64">
        <v>1</v>
      </c>
      <c r="H64" t="s">
        <v>14</v>
      </c>
      <c r="I64" t="s">
        <v>181</v>
      </c>
      <c r="J64" t="s">
        <v>182</v>
      </c>
    </row>
    <row r="65" spans="1:10">
      <c r="A65" t="s">
        <v>183</v>
      </c>
      <c r="B65" t="s">
        <v>69</v>
      </c>
      <c r="E65">
        <v>13</v>
      </c>
      <c r="H65" t="s">
        <v>14</v>
      </c>
      <c r="I65" t="s">
        <v>40</v>
      </c>
    </row>
    <row r="66" spans="1:10">
      <c r="A66" t="s">
        <v>184</v>
      </c>
      <c r="H66" t="s">
        <v>44</v>
      </c>
    </row>
    <row r="67" spans="1:10">
      <c r="A67" t="s">
        <v>185</v>
      </c>
      <c r="H67" t="s">
        <v>44</v>
      </c>
      <c r="J67" t="s">
        <v>123</v>
      </c>
    </row>
    <row r="68" spans="1:10">
      <c r="A68" t="s">
        <v>186</v>
      </c>
      <c r="H68" t="s">
        <v>44</v>
      </c>
      <c r="J68" t="s">
        <v>123</v>
      </c>
    </row>
    <row r="69" spans="1:10">
      <c r="A69" t="s">
        <v>187</v>
      </c>
      <c r="B69" t="s">
        <v>13</v>
      </c>
      <c r="E69">
        <v>6</v>
      </c>
      <c r="H69" t="s">
        <v>98</v>
      </c>
      <c r="I69" t="s">
        <v>86</v>
      </c>
      <c r="J69" t="s">
        <v>188</v>
      </c>
    </row>
    <row r="70" spans="1:10">
      <c r="A70" t="s">
        <v>189</v>
      </c>
      <c r="B70" t="s">
        <v>13</v>
      </c>
      <c r="E70">
        <v>6</v>
      </c>
      <c r="H70" t="s">
        <v>14</v>
      </c>
      <c r="I70" t="s">
        <v>190</v>
      </c>
      <c r="J70" t="s">
        <v>191</v>
      </c>
    </row>
    <row r="71" spans="1:10">
      <c r="A71" t="s">
        <v>192</v>
      </c>
      <c r="B71" t="s">
        <v>27</v>
      </c>
      <c r="E71">
        <v>12</v>
      </c>
      <c r="H71" t="s">
        <v>14</v>
      </c>
      <c r="I71" t="s">
        <v>193</v>
      </c>
    </row>
    <row r="72" spans="1:10">
      <c r="A72" t="s">
        <v>194</v>
      </c>
      <c r="B72" t="s">
        <v>13</v>
      </c>
      <c r="E72">
        <v>6</v>
      </c>
      <c r="H72" t="s">
        <v>14</v>
      </c>
      <c r="I72" t="s">
        <v>40</v>
      </c>
    </row>
    <row r="73" spans="1:10">
      <c r="A73" t="s">
        <v>195</v>
      </c>
      <c r="H73" t="s">
        <v>44</v>
      </c>
      <c r="I73" t="s">
        <v>196</v>
      </c>
      <c r="J73" t="s">
        <v>197</v>
      </c>
    </row>
    <row r="74" spans="1:10">
      <c r="A74" t="s">
        <v>198</v>
      </c>
      <c r="B74" t="s">
        <v>27</v>
      </c>
      <c r="E74">
        <v>12</v>
      </c>
      <c r="H74" t="s">
        <v>14</v>
      </c>
      <c r="I74" t="s">
        <v>199</v>
      </c>
    </row>
    <row r="75" spans="1:10">
      <c r="A75" t="s">
        <v>200</v>
      </c>
      <c r="B75" t="s">
        <v>70</v>
      </c>
      <c r="E75">
        <v>14</v>
      </c>
      <c r="H75" t="s">
        <v>14</v>
      </c>
      <c r="I75" t="s">
        <v>40</v>
      </c>
    </row>
    <row r="76" spans="1:10">
      <c r="A76" t="s">
        <v>201</v>
      </c>
      <c r="B76" t="s">
        <v>21</v>
      </c>
      <c r="E76">
        <v>2</v>
      </c>
      <c r="H76" t="s">
        <v>14</v>
      </c>
      <c r="I76" t="s">
        <v>202</v>
      </c>
    </row>
    <row r="77" spans="1:10">
      <c r="A77" t="s">
        <v>203</v>
      </c>
      <c r="B77" t="s">
        <v>13</v>
      </c>
      <c r="E77">
        <v>6</v>
      </c>
      <c r="H77" t="s">
        <v>14</v>
      </c>
      <c r="I77" t="s">
        <v>107</v>
      </c>
    </row>
    <row r="78" spans="1:10">
      <c r="A78" t="s">
        <v>204</v>
      </c>
      <c r="B78" t="s">
        <v>70</v>
      </c>
      <c r="E78">
        <v>14</v>
      </c>
      <c r="H78" t="s">
        <v>98</v>
      </c>
      <c r="I78" t="s">
        <v>205</v>
      </c>
      <c r="J78" t="s">
        <v>206</v>
      </c>
    </row>
    <row r="79" spans="1:10">
      <c r="A79" t="s">
        <v>207</v>
      </c>
      <c r="B79" t="s">
        <v>13</v>
      </c>
      <c r="E79">
        <v>6</v>
      </c>
      <c r="H79" t="s">
        <v>14</v>
      </c>
      <c r="I79" t="s">
        <v>107</v>
      </c>
    </row>
    <row r="80" spans="1:10">
      <c r="A80" t="s">
        <v>208</v>
      </c>
      <c r="B80" t="s">
        <v>13</v>
      </c>
      <c r="E80">
        <v>6</v>
      </c>
      <c r="H80" t="s">
        <v>14</v>
      </c>
      <c r="I80" t="s">
        <v>209</v>
      </c>
      <c r="J80" t="s">
        <v>210</v>
      </c>
    </row>
    <row r="81" spans="1:10">
      <c r="A81" t="s">
        <v>211</v>
      </c>
      <c r="B81" t="s">
        <v>30</v>
      </c>
      <c r="E81">
        <v>4</v>
      </c>
      <c r="H81" t="s">
        <v>14</v>
      </c>
      <c r="I81" t="s">
        <v>40</v>
      </c>
    </row>
    <row r="82" spans="1:10">
      <c r="A82" t="s">
        <v>212</v>
      </c>
      <c r="B82" t="s">
        <v>61</v>
      </c>
      <c r="E82">
        <v>11</v>
      </c>
      <c r="H82" t="s">
        <v>14</v>
      </c>
      <c r="I82" t="s">
        <v>213</v>
      </c>
      <c r="J82" t="s">
        <v>214</v>
      </c>
    </row>
    <row r="83" spans="1:10">
      <c r="A83" t="s">
        <v>215</v>
      </c>
      <c r="B83" t="s">
        <v>17</v>
      </c>
      <c r="E83">
        <v>1</v>
      </c>
      <c r="H83" t="s">
        <v>98</v>
      </c>
      <c r="I83" t="s">
        <v>216</v>
      </c>
      <c r="J83" t="s">
        <v>217</v>
      </c>
    </row>
    <row r="84" spans="1:10">
      <c r="A84" t="s">
        <v>218</v>
      </c>
      <c r="B84" t="s">
        <v>79</v>
      </c>
      <c r="C84" t="s">
        <v>13</v>
      </c>
      <c r="E84">
        <v>17</v>
      </c>
      <c r="F84">
        <v>6</v>
      </c>
      <c r="H84" t="s">
        <v>14</v>
      </c>
      <c r="I84" t="s">
        <v>219</v>
      </c>
    </row>
    <row r="85" spans="1:10">
      <c r="A85" t="s">
        <v>220</v>
      </c>
      <c r="B85" t="s">
        <v>21</v>
      </c>
      <c r="E85">
        <v>2</v>
      </c>
      <c r="H85" t="s">
        <v>14</v>
      </c>
      <c r="I85" t="s">
        <v>40</v>
      </c>
    </row>
    <row r="86" spans="1:10">
      <c r="A86" t="s">
        <v>221</v>
      </c>
      <c r="B86" t="s">
        <v>13</v>
      </c>
      <c r="E86">
        <v>6</v>
      </c>
      <c r="H86" t="s">
        <v>14</v>
      </c>
      <c r="I86" t="s">
        <v>222</v>
      </c>
      <c r="J86" t="s">
        <v>223</v>
      </c>
    </row>
    <row r="87" spans="1:10">
      <c r="A87" t="s">
        <v>224</v>
      </c>
      <c r="H87" t="s">
        <v>44</v>
      </c>
      <c r="I87" t="s">
        <v>225</v>
      </c>
      <c r="J87" t="s">
        <v>226</v>
      </c>
    </row>
    <row r="88" spans="1:10">
      <c r="A88" t="s">
        <v>21</v>
      </c>
      <c r="B88" t="s">
        <v>21</v>
      </c>
      <c r="E88">
        <v>2</v>
      </c>
      <c r="H88" t="s">
        <v>14</v>
      </c>
      <c r="I88" t="s">
        <v>40</v>
      </c>
    </row>
    <row r="89" spans="1:10">
      <c r="A89" t="s">
        <v>34</v>
      </c>
      <c r="B89" t="s">
        <v>34</v>
      </c>
      <c r="E89">
        <v>5</v>
      </c>
      <c r="H89" t="s">
        <v>14</v>
      </c>
      <c r="I89" t="s">
        <v>40</v>
      </c>
    </row>
    <row r="90" spans="1:10">
      <c r="A90" t="s">
        <v>227</v>
      </c>
      <c r="B90" t="s">
        <v>13</v>
      </c>
      <c r="C90" t="s">
        <v>228</v>
      </c>
      <c r="E90">
        <v>6</v>
      </c>
      <c r="F90" t="s">
        <v>228</v>
      </c>
      <c r="I90" t="s">
        <v>229</v>
      </c>
    </row>
    <row r="91" spans="1:10">
      <c r="A91" t="s">
        <v>230</v>
      </c>
      <c r="B91" t="s">
        <v>13</v>
      </c>
      <c r="E91">
        <v>6</v>
      </c>
      <c r="H91" t="s">
        <v>14</v>
      </c>
      <c r="I91" t="s">
        <v>107</v>
      </c>
      <c r="J91" t="s">
        <v>231</v>
      </c>
    </row>
    <row r="92" spans="1:10">
      <c r="A92" t="s">
        <v>232</v>
      </c>
      <c r="B92" t="s">
        <v>27</v>
      </c>
      <c r="E92">
        <v>12</v>
      </c>
      <c r="H92" t="s">
        <v>14</v>
      </c>
      <c r="I92" t="s">
        <v>199</v>
      </c>
      <c r="J92" t="s">
        <v>233</v>
      </c>
    </row>
    <row r="93" spans="1:10">
      <c r="A93" t="s">
        <v>234</v>
      </c>
      <c r="H93" t="s">
        <v>44</v>
      </c>
    </row>
    <row r="94" spans="1:10">
      <c r="A94" t="s">
        <v>235</v>
      </c>
      <c r="B94" t="s">
        <v>17</v>
      </c>
      <c r="E94">
        <v>1</v>
      </c>
      <c r="H94" t="s">
        <v>14</v>
      </c>
      <c r="I94" t="s">
        <v>236</v>
      </c>
      <c r="J94" t="s">
        <v>237</v>
      </c>
    </row>
    <row r="95" spans="1:10">
      <c r="A95" t="s">
        <v>238</v>
      </c>
      <c r="B95" t="s">
        <v>17</v>
      </c>
      <c r="E95">
        <v>1</v>
      </c>
      <c r="H95" t="s">
        <v>98</v>
      </c>
      <c r="I95" t="s">
        <v>239</v>
      </c>
      <c r="J95" t="s">
        <v>240</v>
      </c>
    </row>
    <row r="96" spans="1:10">
      <c r="A96" t="s">
        <v>241</v>
      </c>
      <c r="B96" t="s">
        <v>70</v>
      </c>
      <c r="E96">
        <v>14</v>
      </c>
      <c r="H96" t="s">
        <v>14</v>
      </c>
      <c r="I96" t="s">
        <v>242</v>
      </c>
      <c r="J96" t="s">
        <v>243</v>
      </c>
    </row>
    <row r="97" spans="1:10">
      <c r="A97" t="s">
        <v>244</v>
      </c>
      <c r="H97" t="s">
        <v>44</v>
      </c>
      <c r="I97" t="s">
        <v>245</v>
      </c>
      <c r="J97" t="s">
        <v>246</v>
      </c>
    </row>
    <row r="98" spans="1:10">
      <c r="A98" t="s">
        <v>247</v>
      </c>
      <c r="B98" t="s">
        <v>69</v>
      </c>
      <c r="E98">
        <v>13</v>
      </c>
      <c r="H98" t="s">
        <v>14</v>
      </c>
      <c r="I98" t="s">
        <v>248</v>
      </c>
    </row>
    <row r="99" spans="1:10">
      <c r="A99" t="s">
        <v>249</v>
      </c>
      <c r="B99" t="s">
        <v>69</v>
      </c>
      <c r="E99">
        <v>13</v>
      </c>
      <c r="H99" t="s">
        <v>14</v>
      </c>
      <c r="I99" t="s">
        <v>248</v>
      </c>
    </row>
    <row r="100" spans="1:10">
      <c r="A100" t="s">
        <v>250</v>
      </c>
      <c r="H100" t="s">
        <v>44</v>
      </c>
      <c r="J100" t="s">
        <v>251</v>
      </c>
    </row>
    <row r="101" spans="1:10">
      <c r="A101" t="s">
        <v>252</v>
      </c>
      <c r="B101" t="s">
        <v>54</v>
      </c>
      <c r="E101">
        <v>16</v>
      </c>
      <c r="H101" t="s">
        <v>14</v>
      </c>
      <c r="I101" t="s">
        <v>253</v>
      </c>
    </row>
    <row r="102" spans="1:10">
      <c r="A102" t="s">
        <v>254</v>
      </c>
      <c r="B102" t="s">
        <v>39</v>
      </c>
      <c r="E102">
        <v>20</v>
      </c>
      <c r="H102" t="s">
        <v>14</v>
      </c>
      <c r="I102" t="s">
        <v>255</v>
      </c>
      <c r="J102" t="s">
        <v>256</v>
      </c>
    </row>
    <row r="103" spans="1:10">
      <c r="A103" t="s">
        <v>257</v>
      </c>
      <c r="H103" t="s">
        <v>44</v>
      </c>
      <c r="J103" t="s">
        <v>258</v>
      </c>
    </row>
    <row r="104" spans="1:10">
      <c r="A104" t="s">
        <v>259</v>
      </c>
      <c r="H104" t="s">
        <v>44</v>
      </c>
      <c r="I104" t="s">
        <v>260</v>
      </c>
      <c r="J104" t="s">
        <v>261</v>
      </c>
    </row>
    <row r="105" spans="1:10">
      <c r="A105" t="s">
        <v>262</v>
      </c>
      <c r="B105" t="s">
        <v>61</v>
      </c>
      <c r="E105">
        <v>11</v>
      </c>
      <c r="H105" t="s">
        <v>14</v>
      </c>
      <c r="I105" t="s">
        <v>263</v>
      </c>
      <c r="J105" t="s">
        <v>264</v>
      </c>
    </row>
    <row r="106" spans="1:10">
      <c r="A106" t="s">
        <v>265</v>
      </c>
      <c r="B106" t="s">
        <v>70</v>
      </c>
      <c r="E106">
        <v>14</v>
      </c>
      <c r="H106" t="s">
        <v>14</v>
      </c>
      <c r="I106" t="s">
        <v>40</v>
      </c>
      <c r="J106" t="s">
        <v>266</v>
      </c>
    </row>
    <row r="107" spans="1:10">
      <c r="A107" t="s">
        <v>267</v>
      </c>
      <c r="B107" t="s">
        <v>61</v>
      </c>
      <c r="E107">
        <v>11</v>
      </c>
      <c r="H107" t="s">
        <v>14</v>
      </c>
      <c r="I107" t="s">
        <v>268</v>
      </c>
      <c r="J107" t="s">
        <v>269</v>
      </c>
    </row>
    <row r="108" spans="1:10">
      <c r="A108" t="s">
        <v>270</v>
      </c>
      <c r="B108" t="s">
        <v>70</v>
      </c>
      <c r="E108">
        <v>14</v>
      </c>
      <c r="H108" t="s">
        <v>14</v>
      </c>
      <c r="I108" t="s">
        <v>271</v>
      </c>
      <c r="J108" t="s">
        <v>272</v>
      </c>
    </row>
    <row r="109" spans="1:10">
      <c r="A109" t="s">
        <v>273</v>
      </c>
      <c r="B109" t="s">
        <v>61</v>
      </c>
      <c r="E109">
        <v>11</v>
      </c>
      <c r="H109" t="s">
        <v>14</v>
      </c>
      <c r="I109" t="s">
        <v>274</v>
      </c>
    </row>
    <row r="110" spans="1:10">
      <c r="A110" t="s">
        <v>275</v>
      </c>
      <c r="B110" t="s">
        <v>13</v>
      </c>
      <c r="E110">
        <v>6</v>
      </c>
      <c r="H110" t="s">
        <v>14</v>
      </c>
      <c r="I110" t="s">
        <v>276</v>
      </c>
    </row>
    <row r="111" spans="1:10">
      <c r="A111" t="s">
        <v>277</v>
      </c>
      <c r="B111" t="s">
        <v>54</v>
      </c>
      <c r="E111">
        <v>16</v>
      </c>
      <c r="H111" t="s">
        <v>14</v>
      </c>
      <c r="I111" t="s">
        <v>40</v>
      </c>
      <c r="J111" t="s">
        <v>278</v>
      </c>
    </row>
    <row r="112" spans="1:10">
      <c r="A112" t="s">
        <v>279</v>
      </c>
      <c r="H112" t="s">
        <v>44</v>
      </c>
    </row>
    <row r="113" spans="1:10">
      <c r="A113" t="s">
        <v>280</v>
      </c>
      <c r="B113" t="s">
        <v>83</v>
      </c>
      <c r="E113">
        <v>19</v>
      </c>
      <c r="H113" t="s">
        <v>14</v>
      </c>
      <c r="I113" t="s">
        <v>40</v>
      </c>
      <c r="J113" t="s">
        <v>281</v>
      </c>
    </row>
    <row r="114" spans="1:10">
      <c r="A114" t="s">
        <v>282</v>
      </c>
      <c r="B114" t="s">
        <v>64</v>
      </c>
      <c r="E114">
        <v>15</v>
      </c>
      <c r="H114" t="s">
        <v>14</v>
      </c>
      <c r="I114" t="s">
        <v>40</v>
      </c>
      <c r="J114" t="s">
        <v>283</v>
      </c>
    </row>
    <row r="115" spans="1:10">
      <c r="A115" t="s">
        <v>70</v>
      </c>
      <c r="B115" t="s">
        <v>70</v>
      </c>
      <c r="E115">
        <v>14</v>
      </c>
      <c r="H115" t="s">
        <v>14</v>
      </c>
      <c r="I115" t="s">
        <v>40</v>
      </c>
      <c r="J115" t="s">
        <v>284</v>
      </c>
    </row>
    <row r="116" spans="1:10">
      <c r="A116" t="s">
        <v>285</v>
      </c>
      <c r="B116" t="s">
        <v>79</v>
      </c>
      <c r="E116">
        <v>17</v>
      </c>
      <c r="H116" t="s">
        <v>14</v>
      </c>
      <c r="I116" t="s">
        <v>40</v>
      </c>
    </row>
    <row r="117" spans="1:10">
      <c r="A117" t="s">
        <v>286</v>
      </c>
      <c r="B117" t="s">
        <v>63</v>
      </c>
      <c r="E117">
        <v>18</v>
      </c>
      <c r="H117" t="s">
        <v>14</v>
      </c>
      <c r="I117" t="s">
        <v>40</v>
      </c>
    </row>
    <row r="118" spans="1:10">
      <c r="A118" t="s">
        <v>287</v>
      </c>
      <c r="B118" t="s">
        <v>70</v>
      </c>
      <c r="E118">
        <v>14</v>
      </c>
      <c r="H118" t="s">
        <v>14</v>
      </c>
      <c r="I118" t="s">
        <v>40</v>
      </c>
      <c r="J118" t="s">
        <v>123</v>
      </c>
    </row>
    <row r="119" spans="1:10">
      <c r="A119" t="s">
        <v>288</v>
      </c>
      <c r="B119" t="s">
        <v>70</v>
      </c>
      <c r="E119">
        <v>14</v>
      </c>
      <c r="H119" t="s">
        <v>14</v>
      </c>
      <c r="I119" t="s">
        <v>40</v>
      </c>
    </row>
    <row r="120" spans="1:10">
      <c r="A120" t="s">
        <v>289</v>
      </c>
      <c r="H120" t="s">
        <v>44</v>
      </c>
      <c r="I120" t="s">
        <v>290</v>
      </c>
      <c r="J120" t="s">
        <v>291</v>
      </c>
    </row>
    <row r="121" spans="1:10">
      <c r="A121" t="s">
        <v>292</v>
      </c>
      <c r="B121" t="s">
        <v>13</v>
      </c>
      <c r="E121">
        <v>6</v>
      </c>
      <c r="H121" t="s">
        <v>14</v>
      </c>
      <c r="I121" t="s">
        <v>293</v>
      </c>
    </row>
    <row r="122" spans="1:10">
      <c r="A122" t="s">
        <v>294</v>
      </c>
      <c r="B122" t="s">
        <v>13</v>
      </c>
      <c r="E122">
        <v>6</v>
      </c>
      <c r="H122" t="s">
        <v>14</v>
      </c>
      <c r="I122" t="s">
        <v>48</v>
      </c>
    </row>
    <row r="123" spans="1:10">
      <c r="A123" t="s">
        <v>295</v>
      </c>
      <c r="H123" t="s">
        <v>44</v>
      </c>
      <c r="I123" t="s">
        <v>296</v>
      </c>
      <c r="J123" t="s">
        <v>297</v>
      </c>
    </row>
    <row r="124" spans="1:10">
      <c r="A124" t="s">
        <v>298</v>
      </c>
      <c r="H124" t="s">
        <v>44</v>
      </c>
      <c r="J124" t="s">
        <v>123</v>
      </c>
    </row>
    <row r="125" spans="1:10">
      <c r="A125" t="s">
        <v>299</v>
      </c>
      <c r="B125" t="s">
        <v>27</v>
      </c>
      <c r="E125">
        <v>12</v>
      </c>
      <c r="H125" t="s">
        <v>44</v>
      </c>
      <c r="I125" t="s">
        <v>48</v>
      </c>
    </row>
    <row r="126" spans="1:10">
      <c r="A126" t="s">
        <v>300</v>
      </c>
      <c r="B126" t="s">
        <v>27</v>
      </c>
      <c r="E126">
        <v>12</v>
      </c>
      <c r="H126" t="s">
        <v>44</v>
      </c>
      <c r="I126" t="s">
        <v>48</v>
      </c>
    </row>
    <row r="127" spans="1:10">
      <c r="A127" t="s">
        <v>301</v>
      </c>
      <c r="B127" t="s">
        <v>27</v>
      </c>
      <c r="E127">
        <v>12</v>
      </c>
      <c r="H127" t="s">
        <v>14</v>
      </c>
      <c r="I127" t="s">
        <v>107</v>
      </c>
    </row>
    <row r="128" spans="1:10">
      <c r="A128" t="s">
        <v>302</v>
      </c>
      <c r="B128" t="s">
        <v>79</v>
      </c>
      <c r="C128" t="s">
        <v>13</v>
      </c>
      <c r="D128" t="s">
        <v>63</v>
      </c>
      <c r="E128">
        <v>17</v>
      </c>
      <c r="F128">
        <v>6</v>
      </c>
      <c r="G128">
        <v>18</v>
      </c>
      <c r="H128" t="s">
        <v>44</v>
      </c>
      <c r="I128" t="s">
        <v>48</v>
      </c>
    </row>
    <row r="129" spans="1:10">
      <c r="A129" t="s">
        <v>303</v>
      </c>
      <c r="B129" t="s">
        <v>79</v>
      </c>
      <c r="C129" t="s">
        <v>13</v>
      </c>
      <c r="D129" t="s">
        <v>63</v>
      </c>
      <c r="E129">
        <v>17</v>
      </c>
      <c r="F129">
        <v>6</v>
      </c>
      <c r="G129">
        <v>18</v>
      </c>
      <c r="H129" t="s">
        <v>14</v>
      </c>
      <c r="I129" t="s">
        <v>304</v>
      </c>
      <c r="J129" t="s">
        <v>305</v>
      </c>
    </row>
    <row r="130" spans="1:10">
      <c r="A130" t="s">
        <v>306</v>
      </c>
      <c r="B130" t="s">
        <v>79</v>
      </c>
      <c r="C130" t="s">
        <v>13</v>
      </c>
      <c r="E130">
        <v>17</v>
      </c>
      <c r="F130">
        <v>6</v>
      </c>
      <c r="H130" t="s">
        <v>14</v>
      </c>
      <c r="I130" t="s">
        <v>307</v>
      </c>
      <c r="J130" t="s">
        <v>308</v>
      </c>
    </row>
    <row r="131" spans="1:10">
      <c r="A131" t="s">
        <v>309</v>
      </c>
      <c r="H131" t="s">
        <v>44</v>
      </c>
      <c r="J131" t="s">
        <v>310</v>
      </c>
    </row>
    <row r="132" spans="1:10">
      <c r="A132" t="s">
        <v>311</v>
      </c>
      <c r="B132" t="s">
        <v>70</v>
      </c>
      <c r="E132">
        <v>14</v>
      </c>
      <c r="H132" t="s">
        <v>14</v>
      </c>
      <c r="I132" t="s">
        <v>312</v>
      </c>
    </row>
    <row r="133" spans="1:10">
      <c r="A133" t="s">
        <v>313</v>
      </c>
      <c r="B133" t="s">
        <v>70</v>
      </c>
      <c r="E133">
        <v>14</v>
      </c>
      <c r="H133" t="s">
        <v>98</v>
      </c>
      <c r="J133" t="s">
        <v>314</v>
      </c>
    </row>
    <row r="134" spans="1:10">
      <c r="A134" t="s">
        <v>315</v>
      </c>
      <c r="B134" t="s">
        <v>70</v>
      </c>
      <c r="E134">
        <v>14</v>
      </c>
      <c r="H134" t="s">
        <v>44</v>
      </c>
      <c r="I134" t="s">
        <v>48</v>
      </c>
    </row>
    <row r="135" spans="1:10">
      <c r="A135" t="s">
        <v>316</v>
      </c>
      <c r="H135" t="s">
        <v>44</v>
      </c>
      <c r="J135" t="s">
        <v>123</v>
      </c>
    </row>
    <row r="136" spans="1:10">
      <c r="A136" t="s">
        <v>317</v>
      </c>
      <c r="B136" t="s">
        <v>70</v>
      </c>
      <c r="E136">
        <v>14</v>
      </c>
      <c r="H136" t="s">
        <v>14</v>
      </c>
      <c r="I136" t="s">
        <v>318</v>
      </c>
      <c r="J136" t="s">
        <v>319</v>
      </c>
    </row>
    <row r="137" spans="1:10">
      <c r="A137" t="s">
        <v>320</v>
      </c>
      <c r="B137" t="s">
        <v>61</v>
      </c>
      <c r="E137">
        <v>11</v>
      </c>
      <c r="H137" t="s">
        <v>14</v>
      </c>
      <c r="I137" t="s">
        <v>40</v>
      </c>
    </row>
    <row r="138" spans="1:10">
      <c r="A138" t="s">
        <v>321</v>
      </c>
      <c r="B138" t="s">
        <v>54</v>
      </c>
      <c r="E138">
        <v>16</v>
      </c>
      <c r="H138" t="s">
        <v>98</v>
      </c>
      <c r="I138" t="s">
        <v>322</v>
      </c>
      <c r="J138" t="s">
        <v>323</v>
      </c>
    </row>
    <row r="139" spans="1:10">
      <c r="A139" t="s">
        <v>324</v>
      </c>
      <c r="B139" t="s">
        <v>61</v>
      </c>
      <c r="E139">
        <v>11</v>
      </c>
      <c r="H139" t="s">
        <v>14</v>
      </c>
      <c r="I139" t="s">
        <v>325</v>
      </c>
    </row>
    <row r="140" spans="1:10">
      <c r="A140" t="s">
        <v>326</v>
      </c>
      <c r="B140" t="s">
        <v>13</v>
      </c>
      <c r="C140" t="s">
        <v>39</v>
      </c>
      <c r="E140">
        <v>6</v>
      </c>
      <c r="F140">
        <v>20</v>
      </c>
      <c r="H140" t="s">
        <v>14</v>
      </c>
      <c r="I140" t="s">
        <v>327</v>
      </c>
      <c r="J140" t="s">
        <v>328</v>
      </c>
    </row>
    <row r="141" spans="1:10">
      <c r="A141" t="s">
        <v>329</v>
      </c>
      <c r="B141" t="s">
        <v>61</v>
      </c>
      <c r="E141">
        <v>11</v>
      </c>
      <c r="H141" t="s">
        <v>14</v>
      </c>
      <c r="I141" t="s">
        <v>330</v>
      </c>
    </row>
    <row r="142" spans="1:10">
      <c r="A142" t="s">
        <v>331</v>
      </c>
      <c r="B142" t="s">
        <v>13</v>
      </c>
      <c r="E142">
        <v>6</v>
      </c>
      <c r="H142" t="s">
        <v>98</v>
      </c>
      <c r="I142" t="s">
        <v>332</v>
      </c>
      <c r="J142" t="s">
        <v>333</v>
      </c>
    </row>
    <row r="143" spans="1:10">
      <c r="A143" t="s">
        <v>334</v>
      </c>
      <c r="B143" t="s">
        <v>13</v>
      </c>
      <c r="E143">
        <v>6</v>
      </c>
      <c r="H143" t="s">
        <v>14</v>
      </c>
      <c r="I143" t="s">
        <v>335</v>
      </c>
      <c r="J143" t="s">
        <v>336</v>
      </c>
    </row>
    <row r="144" spans="1:10">
      <c r="A144" t="s">
        <v>337</v>
      </c>
      <c r="H144" t="s">
        <v>44</v>
      </c>
      <c r="I144" t="s">
        <v>338</v>
      </c>
      <c r="J144" t="s">
        <v>339</v>
      </c>
    </row>
    <row r="145" spans="1:10">
      <c r="A145" t="s">
        <v>340</v>
      </c>
      <c r="H145" t="s">
        <v>44</v>
      </c>
      <c r="I145" t="s">
        <v>341</v>
      </c>
      <c r="J145" t="s">
        <v>342</v>
      </c>
    </row>
    <row r="146" spans="1:10">
      <c r="A146" t="s">
        <v>343</v>
      </c>
      <c r="B146" t="s">
        <v>70</v>
      </c>
      <c r="E146">
        <v>14</v>
      </c>
      <c r="H146" t="s">
        <v>14</v>
      </c>
      <c r="I146" t="s">
        <v>344</v>
      </c>
      <c r="J146" t="s">
        <v>345</v>
      </c>
    </row>
    <row r="147" spans="1:10">
      <c r="A147" t="s">
        <v>346</v>
      </c>
      <c r="B147" t="s">
        <v>13</v>
      </c>
      <c r="E147">
        <v>6</v>
      </c>
      <c r="H147" t="s">
        <v>14</v>
      </c>
      <c r="I147" t="s">
        <v>347</v>
      </c>
    </row>
    <row r="148" spans="1:10">
      <c r="A148" t="s">
        <v>348</v>
      </c>
      <c r="H148" t="s">
        <v>44</v>
      </c>
      <c r="I148" t="s">
        <v>81</v>
      </c>
      <c r="J148" t="s">
        <v>349</v>
      </c>
    </row>
    <row r="149" spans="1:10">
      <c r="A149" t="s">
        <v>350</v>
      </c>
      <c r="B149" t="s">
        <v>13</v>
      </c>
      <c r="E149">
        <v>6</v>
      </c>
      <c r="H149" t="s">
        <v>14</v>
      </c>
      <c r="I149" t="s">
        <v>351</v>
      </c>
    </row>
    <row r="150" spans="1:10">
      <c r="A150" t="s">
        <v>352</v>
      </c>
      <c r="H150" t="s">
        <v>44</v>
      </c>
      <c r="J150" t="s">
        <v>353</v>
      </c>
    </row>
    <row r="151" spans="1:10">
      <c r="A151" t="s">
        <v>354</v>
      </c>
      <c r="B151" t="s">
        <v>13</v>
      </c>
      <c r="E151">
        <v>6</v>
      </c>
      <c r="H151" t="s">
        <v>14</v>
      </c>
      <c r="I151" t="s">
        <v>355</v>
      </c>
      <c r="J151" t="s">
        <v>356</v>
      </c>
    </row>
    <row r="152" spans="1:10">
      <c r="A152" t="s">
        <v>357</v>
      </c>
      <c r="B152" t="s">
        <v>27</v>
      </c>
      <c r="E152">
        <v>12</v>
      </c>
      <c r="H152" t="s">
        <v>14</v>
      </c>
      <c r="I152" t="s">
        <v>40</v>
      </c>
    </row>
    <row r="153" spans="1:10">
      <c r="A153" t="s">
        <v>358</v>
      </c>
      <c r="B153" t="s">
        <v>13</v>
      </c>
      <c r="E153">
        <v>6</v>
      </c>
      <c r="H153" t="s">
        <v>14</v>
      </c>
      <c r="I153" t="s">
        <v>359</v>
      </c>
    </row>
    <row r="154" spans="1:10">
      <c r="A154" t="s">
        <v>360</v>
      </c>
      <c r="B154" t="s">
        <v>13</v>
      </c>
      <c r="E154">
        <v>6</v>
      </c>
      <c r="H154" t="s">
        <v>14</v>
      </c>
      <c r="I154" t="s">
        <v>361</v>
      </c>
    </row>
    <row r="155" spans="1:10">
      <c r="A155" t="s">
        <v>362</v>
      </c>
      <c r="B155" t="s">
        <v>39</v>
      </c>
      <c r="E155">
        <v>20</v>
      </c>
      <c r="H155" t="s">
        <v>14</v>
      </c>
      <c r="I155" t="s">
        <v>363</v>
      </c>
      <c r="J155" t="s">
        <v>364</v>
      </c>
    </row>
    <row r="156" spans="1:10">
      <c r="A156" t="s">
        <v>365</v>
      </c>
      <c r="B156" t="s">
        <v>61</v>
      </c>
      <c r="E156">
        <v>11</v>
      </c>
      <c r="H156" t="s">
        <v>14</v>
      </c>
      <c r="I156" t="s">
        <v>366</v>
      </c>
      <c r="J156" t="s">
        <v>367</v>
      </c>
    </row>
    <row r="157" spans="1:10">
      <c r="A157" t="s">
        <v>368</v>
      </c>
      <c r="H157" t="s">
        <v>44</v>
      </c>
      <c r="I157" t="s">
        <v>369</v>
      </c>
      <c r="J157" t="s">
        <v>370</v>
      </c>
    </row>
    <row r="158" spans="1:10">
      <c r="A158" t="s">
        <v>371</v>
      </c>
      <c r="B158" t="s">
        <v>70</v>
      </c>
      <c r="E158">
        <v>14</v>
      </c>
      <c r="H158" t="s">
        <v>14</v>
      </c>
      <c r="I158" t="s">
        <v>40</v>
      </c>
      <c r="J158" t="s">
        <v>372</v>
      </c>
    </row>
    <row r="159" spans="1:10">
      <c r="A159" t="s">
        <v>373</v>
      </c>
      <c r="B159" t="s">
        <v>17</v>
      </c>
      <c r="E159">
        <v>1</v>
      </c>
      <c r="H159" t="s">
        <v>14</v>
      </c>
      <c r="I159" t="s">
        <v>374</v>
      </c>
      <c r="J159" t="s">
        <v>375</v>
      </c>
    </row>
    <row r="160" spans="1:10">
      <c r="A160" t="s">
        <v>376</v>
      </c>
      <c r="B160" t="s">
        <v>39</v>
      </c>
      <c r="C160" t="s">
        <v>42</v>
      </c>
      <c r="E160">
        <v>20</v>
      </c>
      <c r="F160">
        <v>7</v>
      </c>
      <c r="H160" t="s">
        <v>14</v>
      </c>
      <c r="I160" t="s">
        <v>377</v>
      </c>
      <c r="J160" t="s">
        <v>378</v>
      </c>
    </row>
    <row r="161" spans="1:10">
      <c r="A161" t="s">
        <v>379</v>
      </c>
      <c r="B161" t="s">
        <v>13</v>
      </c>
      <c r="E161">
        <v>6</v>
      </c>
      <c r="H161" t="s">
        <v>14</v>
      </c>
      <c r="I161" t="s">
        <v>380</v>
      </c>
    </row>
    <row r="162" spans="1:10">
      <c r="A162" t="s">
        <v>381</v>
      </c>
      <c r="B162" t="s">
        <v>61</v>
      </c>
      <c r="E162">
        <v>11</v>
      </c>
      <c r="H162" t="s">
        <v>14</v>
      </c>
      <c r="I162" t="s">
        <v>382</v>
      </c>
    </row>
    <row r="163" spans="1:10">
      <c r="A163" t="s">
        <v>383</v>
      </c>
      <c r="B163" t="s">
        <v>61</v>
      </c>
      <c r="E163">
        <v>11</v>
      </c>
      <c r="H163" t="s">
        <v>14</v>
      </c>
      <c r="I163" t="s">
        <v>384</v>
      </c>
    </row>
    <row r="164" spans="1:10">
      <c r="A164" t="s">
        <v>385</v>
      </c>
      <c r="B164" t="s">
        <v>69</v>
      </c>
      <c r="E164">
        <v>13</v>
      </c>
      <c r="H164" t="s">
        <v>14</v>
      </c>
      <c r="I164" t="s">
        <v>248</v>
      </c>
      <c r="J164" t="s">
        <v>386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81F51-B3B5-A040-BDB3-2EDBB8678FBB}">
  <dimension ref="A1:E401"/>
  <sheetViews>
    <sheetView tabSelected="1" workbookViewId="0">
      <selection activeCell="D12" sqref="D12"/>
    </sheetView>
  </sheetViews>
  <sheetFormatPr baseColWidth="10" defaultColWidth="11" defaultRowHeight="16"/>
  <cols>
    <col min="1" max="1" width="5" customWidth="1"/>
    <col min="2" max="2" width="33.83203125" customWidth="1"/>
    <col min="3" max="3" width="12.1640625" customWidth="1"/>
    <col min="4" max="4" width="22" customWidth="1"/>
  </cols>
  <sheetData>
    <row r="1" spans="1:5" s="12" customFormat="1">
      <c r="A1" s="11"/>
      <c r="B1" s="1" t="s">
        <v>387</v>
      </c>
      <c r="C1" s="1" t="s">
        <v>388</v>
      </c>
      <c r="D1" s="12" t="s">
        <v>389</v>
      </c>
      <c r="E1" s="12" t="s">
        <v>390</v>
      </c>
    </row>
    <row r="2" spans="1:5">
      <c r="A2" s="1">
        <v>0</v>
      </c>
      <c r="B2" s="2" t="s">
        <v>70</v>
      </c>
      <c r="C2" s="2">
        <v>29028</v>
      </c>
      <c r="D2" t="s">
        <v>70</v>
      </c>
    </row>
    <row r="3" spans="1:5">
      <c r="A3" s="1">
        <v>1</v>
      </c>
      <c r="B3" s="2" t="s">
        <v>61</v>
      </c>
      <c r="C3" s="2">
        <v>8988</v>
      </c>
      <c r="D3" t="s">
        <v>61</v>
      </c>
    </row>
    <row r="4" spans="1:5">
      <c r="A4" s="1">
        <v>2</v>
      </c>
      <c r="B4" s="2" t="s">
        <v>391</v>
      </c>
      <c r="C4" s="2">
        <v>7934</v>
      </c>
      <c r="D4" t="s">
        <v>392</v>
      </c>
    </row>
    <row r="5" spans="1:5">
      <c r="A5" s="1">
        <v>3</v>
      </c>
      <c r="B5" s="2" t="s">
        <v>393</v>
      </c>
      <c r="C5" s="2">
        <v>6823</v>
      </c>
    </row>
    <row r="6" spans="1:5">
      <c r="A6" s="1">
        <v>4</v>
      </c>
      <c r="B6" s="2" t="s">
        <v>394</v>
      </c>
      <c r="C6" s="2">
        <v>4823</v>
      </c>
    </row>
    <row r="7" spans="1:5">
      <c r="A7" s="1">
        <v>5</v>
      </c>
      <c r="B7" s="2" t="s">
        <v>395</v>
      </c>
      <c r="C7" s="2">
        <v>3052</v>
      </c>
      <c r="D7" t="s">
        <v>164</v>
      </c>
    </row>
    <row r="8" spans="1:5">
      <c r="A8" s="1">
        <v>6</v>
      </c>
      <c r="B8" s="2" t="s">
        <v>396</v>
      </c>
      <c r="C8" s="2">
        <v>1276</v>
      </c>
      <c r="D8" t="s">
        <v>79</v>
      </c>
    </row>
    <row r="9" spans="1:5">
      <c r="A9" s="1">
        <v>7</v>
      </c>
      <c r="B9" s="2" t="s">
        <v>13</v>
      </c>
      <c r="C9" s="2">
        <v>1244</v>
      </c>
      <c r="D9" t="s">
        <v>13</v>
      </c>
    </row>
    <row r="10" spans="1:5">
      <c r="A10" s="1">
        <v>8</v>
      </c>
      <c r="B10" s="2" t="s">
        <v>149</v>
      </c>
      <c r="C10" s="2">
        <v>1232</v>
      </c>
    </row>
    <row r="11" spans="1:5">
      <c r="A11" s="1">
        <v>9</v>
      </c>
      <c r="B11" s="2" t="s">
        <v>397</v>
      </c>
      <c r="C11" s="2">
        <v>1125</v>
      </c>
      <c r="D11" t="s">
        <v>64</v>
      </c>
    </row>
    <row r="12" spans="1:5">
      <c r="A12" s="1">
        <v>10</v>
      </c>
      <c r="B12" s="2" t="s">
        <v>398</v>
      </c>
      <c r="C12" s="2">
        <v>860</v>
      </c>
      <c r="D12" t="s">
        <v>79</v>
      </c>
    </row>
    <row r="13" spans="1:5">
      <c r="A13" s="1">
        <v>11</v>
      </c>
      <c r="B13" s="2" t="s">
        <v>399</v>
      </c>
      <c r="C13" s="2">
        <v>682</v>
      </c>
      <c r="D13" t="s">
        <v>39</v>
      </c>
    </row>
    <row r="14" spans="1:5">
      <c r="A14" s="1">
        <v>12</v>
      </c>
      <c r="B14" s="2" t="s">
        <v>400</v>
      </c>
      <c r="C14" s="2">
        <v>577</v>
      </c>
      <c r="D14" t="s">
        <v>70</v>
      </c>
    </row>
    <row r="15" spans="1:5">
      <c r="A15" s="1">
        <v>13</v>
      </c>
      <c r="B15" s="2" t="s">
        <v>79</v>
      </c>
      <c r="C15" s="2">
        <v>575</v>
      </c>
      <c r="D15" t="s">
        <v>79</v>
      </c>
    </row>
    <row r="16" spans="1:5">
      <c r="A16" s="1">
        <v>14</v>
      </c>
      <c r="B16" s="2" t="s">
        <v>401</v>
      </c>
      <c r="C16" s="2">
        <v>574</v>
      </c>
      <c r="D16" t="s">
        <v>164</v>
      </c>
    </row>
    <row r="17" spans="1:4">
      <c r="A17" s="1">
        <v>15</v>
      </c>
      <c r="B17" s="2" t="s">
        <v>402</v>
      </c>
      <c r="C17" s="2">
        <v>546</v>
      </c>
    </row>
    <row r="18" spans="1:4">
      <c r="A18" s="1">
        <v>16</v>
      </c>
      <c r="B18" s="2" t="s">
        <v>57</v>
      </c>
      <c r="C18" s="2">
        <v>529</v>
      </c>
      <c r="D18" t="s">
        <v>57</v>
      </c>
    </row>
    <row r="19" spans="1:4">
      <c r="A19" s="1">
        <v>17</v>
      </c>
      <c r="B19" s="2" t="s">
        <v>403</v>
      </c>
      <c r="C19" s="2">
        <v>507</v>
      </c>
      <c r="D19" t="s">
        <v>42</v>
      </c>
    </row>
    <row r="20" spans="1:4">
      <c r="A20" s="1">
        <v>18</v>
      </c>
      <c r="B20" s="2" t="s">
        <v>404</v>
      </c>
      <c r="C20" s="2">
        <v>427</v>
      </c>
    </row>
    <row r="21" spans="1:4">
      <c r="A21" s="1">
        <v>19</v>
      </c>
      <c r="B21" s="2" t="s">
        <v>405</v>
      </c>
      <c r="C21" s="2">
        <v>388</v>
      </c>
      <c r="D21" t="s">
        <v>34</v>
      </c>
    </row>
    <row r="22" spans="1:4">
      <c r="A22" s="1">
        <v>20</v>
      </c>
      <c r="B22" s="2" t="s">
        <v>406</v>
      </c>
      <c r="C22" s="2">
        <v>371</v>
      </c>
      <c r="D22" t="s">
        <v>54</v>
      </c>
    </row>
    <row r="23" spans="1:4">
      <c r="A23" s="1">
        <v>21</v>
      </c>
      <c r="B23" s="2" t="s">
        <v>407</v>
      </c>
      <c r="C23" s="2">
        <v>343</v>
      </c>
      <c r="D23" s="2" t="s">
        <v>407</v>
      </c>
    </row>
    <row r="24" spans="1:4">
      <c r="A24" s="1">
        <v>22</v>
      </c>
      <c r="B24" s="2" t="s">
        <v>408</v>
      </c>
      <c r="C24" s="2">
        <v>328</v>
      </c>
      <c r="D24" t="s">
        <v>13</v>
      </c>
    </row>
    <row r="25" spans="1:4">
      <c r="A25" s="1">
        <v>23</v>
      </c>
      <c r="B25" s="2" t="s">
        <v>409</v>
      </c>
      <c r="C25" s="2">
        <v>234</v>
      </c>
      <c r="D25" t="s">
        <v>70</v>
      </c>
    </row>
    <row r="26" spans="1:4">
      <c r="A26" s="1">
        <v>24</v>
      </c>
      <c r="B26" s="2" t="s">
        <v>410</v>
      </c>
      <c r="C26" s="2">
        <v>226</v>
      </c>
      <c r="D26" t="s">
        <v>63</v>
      </c>
    </row>
    <row r="27" spans="1:4">
      <c r="A27" s="1">
        <v>25</v>
      </c>
      <c r="B27" s="2" t="s">
        <v>411</v>
      </c>
      <c r="C27" s="2">
        <v>211</v>
      </c>
      <c r="D27" t="s">
        <v>412</v>
      </c>
    </row>
    <row r="28" spans="1:4">
      <c r="A28" s="1">
        <v>26</v>
      </c>
      <c r="B28" s="2" t="s">
        <v>413</v>
      </c>
      <c r="C28" s="2">
        <v>209</v>
      </c>
      <c r="D28" t="s">
        <v>63</v>
      </c>
    </row>
    <row r="29" spans="1:4">
      <c r="A29" s="1">
        <v>27</v>
      </c>
      <c r="B29" s="2" t="s">
        <v>414</v>
      </c>
      <c r="C29" s="2">
        <v>207</v>
      </c>
    </row>
    <row r="30" spans="1:4">
      <c r="A30" s="1">
        <v>28</v>
      </c>
      <c r="B30" s="2" t="s">
        <v>30</v>
      </c>
      <c r="C30" s="2">
        <v>201</v>
      </c>
      <c r="D30" t="s">
        <v>30</v>
      </c>
    </row>
    <row r="31" spans="1:4">
      <c r="A31" s="1">
        <v>29</v>
      </c>
      <c r="B31" s="2" t="s">
        <v>17</v>
      </c>
      <c r="C31" s="2">
        <v>196</v>
      </c>
      <c r="D31" t="s">
        <v>17</v>
      </c>
    </row>
    <row r="32" spans="1:4">
      <c r="A32" s="1">
        <v>30</v>
      </c>
      <c r="B32" s="2" t="s">
        <v>80</v>
      </c>
      <c r="C32" s="2">
        <v>185</v>
      </c>
      <c r="D32" t="s">
        <v>164</v>
      </c>
    </row>
    <row r="33" spans="1:4">
      <c r="A33" s="1">
        <v>31</v>
      </c>
      <c r="B33" s="2" t="s">
        <v>54</v>
      </c>
      <c r="C33" s="2">
        <v>185</v>
      </c>
      <c r="D33" t="s">
        <v>54</v>
      </c>
    </row>
    <row r="34" spans="1:4">
      <c r="A34" s="1">
        <v>32</v>
      </c>
      <c r="B34" s="2" t="s">
        <v>415</v>
      </c>
      <c r="C34" s="2">
        <v>166</v>
      </c>
      <c r="D34" t="s">
        <v>39</v>
      </c>
    </row>
    <row r="35" spans="1:4">
      <c r="A35" s="1">
        <v>33</v>
      </c>
      <c r="B35" s="2" t="s">
        <v>416</v>
      </c>
      <c r="C35" s="2">
        <v>165</v>
      </c>
      <c r="D35" t="s">
        <v>54</v>
      </c>
    </row>
    <row r="36" spans="1:4">
      <c r="A36" s="1">
        <v>34</v>
      </c>
      <c r="B36" s="2" t="s">
        <v>417</v>
      </c>
      <c r="C36" s="2">
        <v>157</v>
      </c>
      <c r="D36" t="s">
        <v>61</v>
      </c>
    </row>
    <row r="37" spans="1:4">
      <c r="A37" s="1">
        <v>35</v>
      </c>
      <c r="B37" s="2" t="s">
        <v>27</v>
      </c>
      <c r="C37" s="2">
        <v>156</v>
      </c>
      <c r="D37" t="s">
        <v>27</v>
      </c>
    </row>
    <row r="38" spans="1:4">
      <c r="A38" s="1">
        <v>36</v>
      </c>
      <c r="B38" s="2" t="s">
        <v>418</v>
      </c>
      <c r="C38" s="2">
        <v>152</v>
      </c>
      <c r="D38" t="s">
        <v>13</v>
      </c>
    </row>
    <row r="39" spans="1:4">
      <c r="A39" s="1">
        <v>37</v>
      </c>
      <c r="B39" s="2" t="s">
        <v>419</v>
      </c>
      <c r="C39" s="2">
        <v>149</v>
      </c>
      <c r="D39" t="s">
        <v>61</v>
      </c>
    </row>
    <row r="40" spans="1:4">
      <c r="A40" s="1">
        <v>38</v>
      </c>
      <c r="B40" s="2" t="s">
        <v>420</v>
      </c>
      <c r="C40" s="2">
        <v>119</v>
      </c>
    </row>
    <row r="41" spans="1:4">
      <c r="A41" s="1">
        <v>39</v>
      </c>
      <c r="B41" s="2" t="s">
        <v>421</v>
      </c>
      <c r="C41" s="2">
        <v>116</v>
      </c>
      <c r="D41" t="s">
        <v>70</v>
      </c>
    </row>
    <row r="42" spans="1:4">
      <c r="A42" s="1">
        <v>40</v>
      </c>
      <c r="B42" s="2" t="s">
        <v>422</v>
      </c>
      <c r="C42" s="2">
        <v>105</v>
      </c>
      <c r="D42" t="s">
        <v>70</v>
      </c>
    </row>
    <row r="43" spans="1:4">
      <c r="A43" s="1">
        <v>41</v>
      </c>
      <c r="B43" s="2" t="s">
        <v>423</v>
      </c>
      <c r="C43" s="2">
        <v>94</v>
      </c>
      <c r="D43" t="s">
        <v>424</v>
      </c>
    </row>
    <row r="44" spans="1:4">
      <c r="A44" s="1">
        <v>42</v>
      </c>
      <c r="B44" s="2" t="s">
        <v>425</v>
      </c>
      <c r="C44" s="2">
        <v>92</v>
      </c>
    </row>
    <row r="45" spans="1:4">
      <c r="A45" s="1">
        <v>43</v>
      </c>
      <c r="B45" s="2" t="s">
        <v>426</v>
      </c>
      <c r="C45" s="2">
        <v>87</v>
      </c>
      <c r="D45" t="s">
        <v>13</v>
      </c>
    </row>
    <row r="46" spans="1:4">
      <c r="A46" s="1">
        <v>44</v>
      </c>
      <c r="B46" s="2" t="s">
        <v>427</v>
      </c>
      <c r="C46" s="2">
        <v>84</v>
      </c>
    </row>
    <row r="47" spans="1:4">
      <c r="A47" s="1">
        <v>45</v>
      </c>
      <c r="B47" s="2" t="s">
        <v>428</v>
      </c>
      <c r="C47" s="2">
        <v>84</v>
      </c>
    </row>
    <row r="48" spans="1:4">
      <c r="A48" s="1">
        <v>46</v>
      </c>
      <c r="B48" s="2" t="s">
        <v>429</v>
      </c>
      <c r="C48" s="2">
        <v>83</v>
      </c>
      <c r="D48" t="s">
        <v>17</v>
      </c>
    </row>
    <row r="49" spans="1:4">
      <c r="A49" s="1">
        <v>47</v>
      </c>
      <c r="B49" s="2" t="s">
        <v>195</v>
      </c>
      <c r="C49" s="2">
        <v>82</v>
      </c>
      <c r="D49" t="s">
        <v>195</v>
      </c>
    </row>
    <row r="50" spans="1:4">
      <c r="A50" s="1">
        <v>48</v>
      </c>
      <c r="B50" s="2" t="s">
        <v>430</v>
      </c>
      <c r="C50" s="2">
        <v>79</v>
      </c>
      <c r="D50" t="s">
        <v>27</v>
      </c>
    </row>
    <row r="51" spans="1:4">
      <c r="A51" s="1">
        <v>49</v>
      </c>
      <c r="B51" s="2" t="s">
        <v>186</v>
      </c>
      <c r="C51" s="2">
        <v>75</v>
      </c>
    </row>
    <row r="52" spans="1:4">
      <c r="A52" s="1">
        <v>50</v>
      </c>
      <c r="B52" s="2" t="s">
        <v>431</v>
      </c>
      <c r="C52" s="2">
        <v>63</v>
      </c>
      <c r="D52" t="s">
        <v>432</v>
      </c>
    </row>
    <row r="53" spans="1:4">
      <c r="A53" s="1">
        <v>51</v>
      </c>
      <c r="B53" s="2" t="s">
        <v>433</v>
      </c>
      <c r="C53" s="2">
        <v>61</v>
      </c>
      <c r="D53" t="s">
        <v>61</v>
      </c>
    </row>
    <row r="54" spans="1:4">
      <c r="A54" s="1">
        <v>52</v>
      </c>
      <c r="B54" s="2" t="s">
        <v>434</v>
      </c>
      <c r="C54" s="2">
        <v>59</v>
      </c>
    </row>
    <row r="55" spans="1:4">
      <c r="A55" s="1">
        <v>53</v>
      </c>
      <c r="B55" s="2" t="s">
        <v>435</v>
      </c>
      <c r="C55" s="2">
        <v>58</v>
      </c>
      <c r="D55" t="s">
        <v>164</v>
      </c>
    </row>
    <row r="56" spans="1:4">
      <c r="A56" s="1">
        <v>54</v>
      </c>
      <c r="B56" s="2" t="s">
        <v>436</v>
      </c>
      <c r="C56" s="2">
        <v>53</v>
      </c>
    </row>
    <row r="57" spans="1:4">
      <c r="A57" s="1">
        <v>55</v>
      </c>
      <c r="B57" s="2" t="s">
        <v>437</v>
      </c>
      <c r="C57" s="2">
        <v>47</v>
      </c>
      <c r="D57" t="s">
        <v>13</v>
      </c>
    </row>
    <row r="58" spans="1:4">
      <c r="A58" s="1">
        <v>56</v>
      </c>
      <c r="B58" s="2" t="s">
        <v>438</v>
      </c>
      <c r="C58" s="2">
        <v>47</v>
      </c>
    </row>
    <row r="59" spans="1:4">
      <c r="A59" s="1">
        <v>57</v>
      </c>
      <c r="B59" s="2" t="s">
        <v>439</v>
      </c>
      <c r="C59" s="2">
        <v>46</v>
      </c>
    </row>
    <row r="60" spans="1:4">
      <c r="A60" s="1">
        <v>58</v>
      </c>
      <c r="B60" s="2" t="s">
        <v>440</v>
      </c>
      <c r="C60" s="2">
        <v>46</v>
      </c>
    </row>
    <row r="61" spans="1:4">
      <c r="A61" s="1">
        <v>59</v>
      </c>
      <c r="B61" s="2" t="s">
        <v>441</v>
      </c>
      <c r="C61" s="2">
        <v>45</v>
      </c>
    </row>
    <row r="62" spans="1:4">
      <c r="A62" s="1">
        <v>60</v>
      </c>
      <c r="B62" s="2" t="s">
        <v>368</v>
      </c>
      <c r="C62" s="2">
        <v>42</v>
      </c>
      <c r="D62" t="s">
        <v>70</v>
      </c>
    </row>
    <row r="63" spans="1:4">
      <c r="A63" s="1">
        <v>61</v>
      </c>
      <c r="B63" s="2" t="s">
        <v>442</v>
      </c>
      <c r="C63" s="2">
        <v>40</v>
      </c>
      <c r="D63" t="s">
        <v>13</v>
      </c>
    </row>
    <row r="64" spans="1:4">
      <c r="A64" s="1">
        <v>62</v>
      </c>
      <c r="B64" s="2" t="s">
        <v>443</v>
      </c>
      <c r="C64" s="2">
        <v>39</v>
      </c>
    </row>
    <row r="65" spans="1:4">
      <c r="A65" s="1">
        <v>63</v>
      </c>
      <c r="B65" s="2" t="s">
        <v>444</v>
      </c>
      <c r="C65" s="2">
        <v>39</v>
      </c>
      <c r="D65" t="s">
        <v>61</v>
      </c>
    </row>
    <row r="66" spans="1:4">
      <c r="A66" s="1">
        <v>64</v>
      </c>
      <c r="B66" s="2" t="s">
        <v>445</v>
      </c>
      <c r="C66" s="2">
        <v>36</v>
      </c>
      <c r="D66" t="s">
        <v>27</v>
      </c>
    </row>
    <row r="67" spans="1:4">
      <c r="A67" s="1">
        <v>65</v>
      </c>
      <c r="B67" s="2" t="s">
        <v>446</v>
      </c>
      <c r="C67" s="2">
        <v>36</v>
      </c>
    </row>
    <row r="68" spans="1:4">
      <c r="A68" s="1">
        <v>66</v>
      </c>
      <c r="B68" s="2" t="s">
        <v>447</v>
      </c>
      <c r="C68" s="2">
        <v>36</v>
      </c>
      <c r="D68" t="s">
        <v>61</v>
      </c>
    </row>
    <row r="69" spans="1:4">
      <c r="A69" s="1">
        <v>67</v>
      </c>
      <c r="B69" s="2" t="s">
        <v>448</v>
      </c>
      <c r="C69" s="2">
        <v>34</v>
      </c>
      <c r="D69" t="s">
        <v>13</v>
      </c>
    </row>
    <row r="70" spans="1:4">
      <c r="A70" s="1">
        <v>68</v>
      </c>
      <c r="B70" s="2" t="s">
        <v>449</v>
      </c>
      <c r="C70" s="2">
        <v>32</v>
      </c>
      <c r="D70" t="s">
        <v>63</v>
      </c>
    </row>
    <row r="71" spans="1:4">
      <c r="A71" s="1">
        <v>69</v>
      </c>
      <c r="B71" s="2" t="s">
        <v>450</v>
      </c>
      <c r="C71" s="2">
        <v>31</v>
      </c>
      <c r="D71" t="s">
        <v>392</v>
      </c>
    </row>
    <row r="72" spans="1:4">
      <c r="A72" s="1">
        <v>70</v>
      </c>
      <c r="B72" s="2" t="s">
        <v>451</v>
      </c>
      <c r="C72" s="2">
        <v>30</v>
      </c>
    </row>
    <row r="73" spans="1:4">
      <c r="A73" s="1">
        <v>71</v>
      </c>
      <c r="B73" s="2" t="s">
        <v>452</v>
      </c>
      <c r="C73" s="2">
        <v>30</v>
      </c>
      <c r="D73" t="s">
        <v>79</v>
      </c>
    </row>
    <row r="74" spans="1:4">
      <c r="A74" s="1">
        <v>72</v>
      </c>
      <c r="B74" s="2" t="s">
        <v>453</v>
      </c>
      <c r="C74" s="2">
        <v>28</v>
      </c>
      <c r="D74" t="s">
        <v>54</v>
      </c>
    </row>
    <row r="75" spans="1:4">
      <c r="A75" s="1">
        <v>73</v>
      </c>
      <c r="B75" s="2" t="s">
        <v>454</v>
      </c>
      <c r="C75" s="2">
        <v>27</v>
      </c>
      <c r="D75" t="s">
        <v>70</v>
      </c>
    </row>
    <row r="76" spans="1:4">
      <c r="A76" s="1">
        <v>74</v>
      </c>
      <c r="B76" s="2" t="s">
        <v>455</v>
      </c>
      <c r="C76" s="2">
        <v>25</v>
      </c>
    </row>
    <row r="77" spans="1:4">
      <c r="A77" s="1">
        <v>75</v>
      </c>
      <c r="B77" s="2" t="s">
        <v>456</v>
      </c>
      <c r="C77" s="2">
        <v>25</v>
      </c>
    </row>
    <row r="78" spans="1:4">
      <c r="A78" s="1">
        <v>76</v>
      </c>
      <c r="B78" s="2" t="s">
        <v>457</v>
      </c>
      <c r="C78" s="2">
        <v>24</v>
      </c>
    </row>
    <row r="79" spans="1:4">
      <c r="A79" s="1">
        <v>77</v>
      </c>
      <c r="B79" s="2" t="s">
        <v>458</v>
      </c>
      <c r="C79" s="2">
        <v>24</v>
      </c>
      <c r="D79" t="s">
        <v>195</v>
      </c>
    </row>
    <row r="80" spans="1:4">
      <c r="A80" s="1">
        <v>78</v>
      </c>
      <c r="B80" s="2" t="s">
        <v>459</v>
      </c>
      <c r="C80" s="2">
        <v>24</v>
      </c>
    </row>
    <row r="81" spans="1:4">
      <c r="A81" s="1">
        <v>79</v>
      </c>
      <c r="B81" s="2" t="s">
        <v>460</v>
      </c>
      <c r="C81" s="2">
        <v>23</v>
      </c>
      <c r="D81" t="s">
        <v>70</v>
      </c>
    </row>
    <row r="82" spans="1:4">
      <c r="A82" s="1">
        <v>80</v>
      </c>
      <c r="B82" s="2" t="s">
        <v>461</v>
      </c>
      <c r="C82" s="2">
        <v>23</v>
      </c>
      <c r="D82" t="s">
        <v>30</v>
      </c>
    </row>
    <row r="83" spans="1:4">
      <c r="A83" s="1">
        <v>81</v>
      </c>
      <c r="B83" s="2" t="s">
        <v>462</v>
      </c>
      <c r="C83" s="2">
        <v>23</v>
      </c>
      <c r="D83" t="s">
        <v>83</v>
      </c>
    </row>
    <row r="84" spans="1:4">
      <c r="A84" s="1">
        <v>82</v>
      </c>
      <c r="B84" s="2" t="s">
        <v>463</v>
      </c>
      <c r="C84" s="2">
        <v>23</v>
      </c>
      <c r="D84" t="s">
        <v>13</v>
      </c>
    </row>
    <row r="85" spans="1:4">
      <c r="A85" s="1">
        <v>83</v>
      </c>
      <c r="B85" s="2" t="s">
        <v>464</v>
      </c>
      <c r="C85" s="2">
        <v>22</v>
      </c>
      <c r="D85" t="s">
        <v>70</v>
      </c>
    </row>
    <row r="86" spans="1:4">
      <c r="A86" s="1">
        <v>84</v>
      </c>
      <c r="B86" s="2" t="s">
        <v>465</v>
      </c>
      <c r="C86" s="2">
        <v>22</v>
      </c>
      <c r="D86" t="s">
        <v>30</v>
      </c>
    </row>
    <row r="87" spans="1:4">
      <c r="A87" s="1">
        <v>85</v>
      </c>
      <c r="B87" s="2" t="s">
        <v>466</v>
      </c>
      <c r="C87" s="2">
        <v>22</v>
      </c>
    </row>
    <row r="88" spans="1:4">
      <c r="A88" s="1">
        <v>86</v>
      </c>
      <c r="B88" s="2" t="s">
        <v>467</v>
      </c>
      <c r="C88" s="2">
        <v>22</v>
      </c>
      <c r="D88" t="s">
        <v>17</v>
      </c>
    </row>
    <row r="89" spans="1:4">
      <c r="A89" s="1">
        <v>87</v>
      </c>
      <c r="B89" s="2" t="s">
        <v>468</v>
      </c>
      <c r="C89" s="2">
        <v>21</v>
      </c>
      <c r="D89" t="s">
        <v>61</v>
      </c>
    </row>
    <row r="90" spans="1:4">
      <c r="A90" s="1">
        <v>88</v>
      </c>
      <c r="B90" s="2" t="s">
        <v>469</v>
      </c>
      <c r="C90" s="2">
        <v>21</v>
      </c>
    </row>
    <row r="91" spans="1:4">
      <c r="A91" s="1">
        <v>89</v>
      </c>
      <c r="B91" s="2" t="s">
        <v>470</v>
      </c>
      <c r="C91" s="2">
        <v>20</v>
      </c>
      <c r="D91" t="s">
        <v>471</v>
      </c>
    </row>
    <row r="92" spans="1:4">
      <c r="A92" s="1">
        <v>90</v>
      </c>
      <c r="B92" s="2" t="s">
        <v>106</v>
      </c>
      <c r="C92" s="2">
        <v>18</v>
      </c>
      <c r="D92" t="s">
        <v>106</v>
      </c>
    </row>
    <row r="93" spans="1:4">
      <c r="A93" s="1">
        <v>91</v>
      </c>
      <c r="B93" s="2" t="s">
        <v>143</v>
      </c>
      <c r="C93" s="2">
        <v>18</v>
      </c>
      <c r="D93" t="s">
        <v>471</v>
      </c>
    </row>
    <row r="94" spans="1:4">
      <c r="A94" s="1">
        <v>92</v>
      </c>
      <c r="B94" s="2" t="s">
        <v>472</v>
      </c>
      <c r="C94" s="2">
        <v>17</v>
      </c>
    </row>
    <row r="95" spans="1:4">
      <c r="A95" s="1">
        <v>93</v>
      </c>
      <c r="B95" s="2" t="s">
        <v>473</v>
      </c>
      <c r="C95" s="2">
        <v>17</v>
      </c>
      <c r="D95" t="s">
        <v>471</v>
      </c>
    </row>
    <row r="96" spans="1:4">
      <c r="A96" s="1">
        <v>94</v>
      </c>
      <c r="B96" s="2" t="s">
        <v>474</v>
      </c>
      <c r="C96" s="2">
        <v>17</v>
      </c>
      <c r="D96" t="s">
        <v>79</v>
      </c>
    </row>
    <row r="97" spans="1:4">
      <c r="A97" s="1">
        <v>95</v>
      </c>
      <c r="B97" s="2" t="s">
        <v>475</v>
      </c>
      <c r="C97" s="2">
        <v>16</v>
      </c>
      <c r="D97" t="s">
        <v>471</v>
      </c>
    </row>
    <row r="98" spans="1:4">
      <c r="A98" s="1">
        <v>96</v>
      </c>
      <c r="B98" s="2" t="s">
        <v>476</v>
      </c>
      <c r="C98" s="2">
        <v>16</v>
      </c>
    </row>
    <row r="99" spans="1:4">
      <c r="A99" s="1">
        <v>97</v>
      </c>
      <c r="B99" s="2" t="s">
        <v>477</v>
      </c>
      <c r="C99" s="2">
        <v>16</v>
      </c>
    </row>
    <row r="100" spans="1:4">
      <c r="A100" s="1">
        <v>98</v>
      </c>
      <c r="B100" s="2" t="s">
        <v>478</v>
      </c>
      <c r="C100" s="2">
        <v>15</v>
      </c>
    </row>
    <row r="101" spans="1:4">
      <c r="A101" s="1">
        <v>99</v>
      </c>
      <c r="B101" s="2" t="s">
        <v>479</v>
      </c>
      <c r="C101" s="2">
        <v>15</v>
      </c>
      <c r="D101" t="s">
        <v>471</v>
      </c>
    </row>
    <row r="102" spans="1:4">
      <c r="A102" s="1">
        <v>100</v>
      </c>
      <c r="B102" s="2" t="s">
        <v>480</v>
      </c>
      <c r="C102" s="2">
        <v>14</v>
      </c>
      <c r="D102" t="s">
        <v>471</v>
      </c>
    </row>
    <row r="103" spans="1:4">
      <c r="A103" s="1">
        <v>101</v>
      </c>
      <c r="B103" s="2" t="s">
        <v>481</v>
      </c>
      <c r="C103" s="2">
        <v>14</v>
      </c>
    </row>
    <row r="104" spans="1:4">
      <c r="A104" s="1">
        <v>102</v>
      </c>
      <c r="B104" s="2" t="s">
        <v>482</v>
      </c>
      <c r="C104" s="2">
        <v>14</v>
      </c>
      <c r="D104" t="s">
        <v>471</v>
      </c>
    </row>
    <row r="105" spans="1:4">
      <c r="A105" s="1">
        <v>103</v>
      </c>
      <c r="B105" s="2" t="s">
        <v>483</v>
      </c>
      <c r="C105" s="2">
        <v>14</v>
      </c>
    </row>
    <row r="106" spans="1:4">
      <c r="A106" s="1">
        <v>104</v>
      </c>
      <c r="B106" s="2" t="s">
        <v>484</v>
      </c>
      <c r="C106" s="2">
        <v>14</v>
      </c>
      <c r="D106" t="s">
        <v>471</v>
      </c>
    </row>
    <row r="107" spans="1:4">
      <c r="A107" s="1">
        <v>105</v>
      </c>
      <c r="B107" s="2" t="s">
        <v>485</v>
      </c>
      <c r="C107" s="2">
        <v>13</v>
      </c>
    </row>
    <row r="108" spans="1:4">
      <c r="A108" s="1">
        <v>106</v>
      </c>
      <c r="B108" s="2" t="s">
        <v>486</v>
      </c>
      <c r="C108" s="2">
        <v>13</v>
      </c>
      <c r="D108" t="s">
        <v>471</v>
      </c>
    </row>
    <row r="109" spans="1:4">
      <c r="A109" s="1">
        <v>107</v>
      </c>
      <c r="B109" s="2" t="s">
        <v>487</v>
      </c>
      <c r="C109" s="2">
        <v>13</v>
      </c>
      <c r="D109" t="s">
        <v>432</v>
      </c>
    </row>
    <row r="110" spans="1:4">
      <c r="A110" s="1">
        <v>108</v>
      </c>
      <c r="B110" s="2" t="s">
        <v>488</v>
      </c>
      <c r="C110" s="2">
        <v>12</v>
      </c>
      <c r="D110" t="s">
        <v>51</v>
      </c>
    </row>
    <row r="111" spans="1:4">
      <c r="A111" s="1">
        <v>109</v>
      </c>
      <c r="B111" s="2" t="s">
        <v>489</v>
      </c>
      <c r="C111" s="2">
        <v>12</v>
      </c>
      <c r="D111" t="s">
        <v>70</v>
      </c>
    </row>
    <row r="112" spans="1:4">
      <c r="A112" s="1">
        <v>110</v>
      </c>
      <c r="B112" s="2" t="s">
        <v>490</v>
      </c>
      <c r="C112" s="2">
        <v>12</v>
      </c>
      <c r="D112" t="s">
        <v>471</v>
      </c>
    </row>
    <row r="113" spans="1:4">
      <c r="A113" s="1">
        <v>111</v>
      </c>
      <c r="B113" s="2" t="s">
        <v>491</v>
      </c>
      <c r="C113" s="2">
        <v>11</v>
      </c>
    </row>
    <row r="114" spans="1:4">
      <c r="A114" s="1">
        <v>112</v>
      </c>
      <c r="B114" s="2" t="s">
        <v>492</v>
      </c>
      <c r="C114" s="2">
        <v>11</v>
      </c>
      <c r="D114" t="s">
        <v>471</v>
      </c>
    </row>
    <row r="115" spans="1:4">
      <c r="A115" s="1">
        <v>113</v>
      </c>
      <c r="B115" s="2" t="s">
        <v>493</v>
      </c>
      <c r="C115" s="2">
        <v>11</v>
      </c>
      <c r="D115" t="s">
        <v>51</v>
      </c>
    </row>
    <row r="116" spans="1:4">
      <c r="A116" s="1">
        <v>114</v>
      </c>
      <c r="B116" s="2" t="s">
        <v>494</v>
      </c>
      <c r="C116" s="2">
        <v>11</v>
      </c>
      <c r="D116" t="s">
        <v>471</v>
      </c>
    </row>
    <row r="117" spans="1:4">
      <c r="A117" s="1">
        <v>115</v>
      </c>
      <c r="B117" s="2" t="s">
        <v>495</v>
      </c>
      <c r="C117" s="2">
        <v>11</v>
      </c>
      <c r="D117" t="s">
        <v>471</v>
      </c>
    </row>
    <row r="118" spans="1:4">
      <c r="A118" s="1">
        <v>116</v>
      </c>
      <c r="B118" s="2" t="s">
        <v>496</v>
      </c>
      <c r="C118" s="2">
        <v>11</v>
      </c>
      <c r="D118" t="s">
        <v>471</v>
      </c>
    </row>
    <row r="119" spans="1:4">
      <c r="A119" s="1">
        <v>117</v>
      </c>
      <c r="B119" s="2" t="s">
        <v>497</v>
      </c>
      <c r="C119" s="2">
        <v>10</v>
      </c>
      <c r="D119" t="s">
        <v>498</v>
      </c>
    </row>
    <row r="120" spans="1:4">
      <c r="A120" s="1">
        <v>118</v>
      </c>
      <c r="B120" s="2" t="s">
        <v>499</v>
      </c>
      <c r="C120" s="2">
        <v>10</v>
      </c>
      <c r="D120" t="s">
        <v>471</v>
      </c>
    </row>
    <row r="121" spans="1:4">
      <c r="A121" s="1">
        <v>119</v>
      </c>
      <c r="B121" s="2" t="s">
        <v>500</v>
      </c>
      <c r="C121" s="2">
        <v>10</v>
      </c>
      <c r="D121" t="s">
        <v>471</v>
      </c>
    </row>
    <row r="122" spans="1:4">
      <c r="A122" s="1">
        <v>120</v>
      </c>
      <c r="B122" s="2" t="s">
        <v>69</v>
      </c>
      <c r="C122" s="2">
        <v>10</v>
      </c>
      <c r="D122" t="s">
        <v>392</v>
      </c>
    </row>
    <row r="123" spans="1:4">
      <c r="A123" s="1">
        <v>121</v>
      </c>
      <c r="B123" s="2" t="s">
        <v>501</v>
      </c>
      <c r="C123" s="2">
        <v>10</v>
      </c>
      <c r="D123" t="s">
        <v>502</v>
      </c>
    </row>
    <row r="124" spans="1:4">
      <c r="A124" s="1">
        <v>122</v>
      </c>
      <c r="B124" s="2" t="s">
        <v>503</v>
      </c>
      <c r="C124" s="2">
        <v>10</v>
      </c>
      <c r="D124" t="s">
        <v>83</v>
      </c>
    </row>
    <row r="125" spans="1:4">
      <c r="A125" s="1">
        <v>123</v>
      </c>
      <c r="B125" s="2" t="s">
        <v>504</v>
      </c>
      <c r="C125" s="2">
        <v>10</v>
      </c>
      <c r="D125" t="s">
        <v>471</v>
      </c>
    </row>
    <row r="126" spans="1:4">
      <c r="A126" s="1">
        <v>124</v>
      </c>
      <c r="B126" s="2" t="s">
        <v>505</v>
      </c>
      <c r="C126" s="2">
        <v>10</v>
      </c>
    </row>
    <row r="127" spans="1:4">
      <c r="A127" s="1">
        <v>125</v>
      </c>
      <c r="B127" s="2" t="s">
        <v>506</v>
      </c>
      <c r="C127" s="2">
        <v>9</v>
      </c>
      <c r="D127" t="s">
        <v>471</v>
      </c>
    </row>
    <row r="128" spans="1:4">
      <c r="A128" s="1">
        <v>126</v>
      </c>
      <c r="B128" s="2" t="s">
        <v>507</v>
      </c>
      <c r="C128" s="2">
        <v>9</v>
      </c>
      <c r="D128" t="s">
        <v>471</v>
      </c>
    </row>
    <row r="129" spans="1:4">
      <c r="A129" s="1">
        <v>127</v>
      </c>
      <c r="B129" s="2" t="s">
        <v>508</v>
      </c>
      <c r="C129" s="2">
        <v>9</v>
      </c>
      <c r="D129" t="s">
        <v>471</v>
      </c>
    </row>
    <row r="130" spans="1:4">
      <c r="A130" s="1">
        <v>128</v>
      </c>
      <c r="B130" s="2" t="s">
        <v>509</v>
      </c>
      <c r="C130" s="2">
        <v>9</v>
      </c>
      <c r="D130" t="s">
        <v>471</v>
      </c>
    </row>
    <row r="131" spans="1:4">
      <c r="A131" s="1">
        <v>129</v>
      </c>
      <c r="B131" s="2" t="s">
        <v>510</v>
      </c>
      <c r="C131" s="2">
        <v>9</v>
      </c>
      <c r="D131" t="s">
        <v>13</v>
      </c>
    </row>
    <row r="132" spans="1:4">
      <c r="A132" s="1">
        <v>130</v>
      </c>
      <c r="B132" s="2" t="s">
        <v>511</v>
      </c>
      <c r="C132" s="2">
        <v>8</v>
      </c>
    </row>
    <row r="133" spans="1:4">
      <c r="A133" s="1">
        <v>131</v>
      </c>
      <c r="B133" s="2" t="s">
        <v>512</v>
      </c>
      <c r="C133" s="2">
        <v>8</v>
      </c>
      <c r="D133" t="s">
        <v>471</v>
      </c>
    </row>
    <row r="134" spans="1:4">
      <c r="A134" s="1">
        <v>132</v>
      </c>
      <c r="B134" s="2" t="s">
        <v>513</v>
      </c>
      <c r="C134" s="2">
        <v>8</v>
      </c>
      <c r="D134" t="s">
        <v>27</v>
      </c>
    </row>
    <row r="135" spans="1:4">
      <c r="A135" s="1">
        <v>133</v>
      </c>
      <c r="B135" s="2" t="s">
        <v>514</v>
      </c>
      <c r="C135" s="2">
        <v>8</v>
      </c>
      <c r="D135" t="s">
        <v>63</v>
      </c>
    </row>
    <row r="136" spans="1:4">
      <c r="A136" s="1">
        <v>134</v>
      </c>
      <c r="B136" s="2" t="s">
        <v>515</v>
      </c>
      <c r="C136" s="2">
        <v>8</v>
      </c>
      <c r="D136" t="s">
        <v>471</v>
      </c>
    </row>
    <row r="137" spans="1:4">
      <c r="A137" s="1">
        <v>135</v>
      </c>
      <c r="B137" s="2" t="s">
        <v>516</v>
      </c>
      <c r="C137" s="2">
        <v>7</v>
      </c>
    </row>
    <row r="138" spans="1:4">
      <c r="A138" s="1">
        <v>136</v>
      </c>
      <c r="B138" s="2" t="s">
        <v>517</v>
      </c>
      <c r="C138" s="2">
        <v>7</v>
      </c>
      <c r="D138" t="s">
        <v>53</v>
      </c>
    </row>
    <row r="139" spans="1:4">
      <c r="A139" s="1">
        <v>137</v>
      </c>
      <c r="B139" s="2" t="s">
        <v>518</v>
      </c>
      <c r="C139" s="2">
        <v>7</v>
      </c>
      <c r="D139" s="2" t="s">
        <v>407</v>
      </c>
    </row>
    <row r="140" spans="1:4">
      <c r="A140" s="1">
        <v>138</v>
      </c>
      <c r="B140" s="2" t="s">
        <v>519</v>
      </c>
      <c r="C140" s="2">
        <v>7</v>
      </c>
      <c r="D140" t="s">
        <v>471</v>
      </c>
    </row>
    <row r="141" spans="1:4">
      <c r="A141" s="1">
        <v>139</v>
      </c>
      <c r="B141" s="2" t="s">
        <v>520</v>
      </c>
      <c r="C141" s="2">
        <v>7</v>
      </c>
      <c r="D141" t="s">
        <v>471</v>
      </c>
    </row>
    <row r="142" spans="1:4">
      <c r="A142" s="1">
        <v>140</v>
      </c>
      <c r="B142" s="2" t="s">
        <v>521</v>
      </c>
      <c r="C142" s="2">
        <v>7</v>
      </c>
      <c r="D142" t="s">
        <v>61</v>
      </c>
    </row>
    <row r="143" spans="1:4">
      <c r="A143" s="1">
        <v>141</v>
      </c>
      <c r="B143" s="2" t="s">
        <v>522</v>
      </c>
      <c r="C143" s="2">
        <v>7</v>
      </c>
      <c r="D143" t="s">
        <v>471</v>
      </c>
    </row>
    <row r="144" spans="1:4">
      <c r="A144" s="1">
        <v>142</v>
      </c>
      <c r="B144" s="2" t="s">
        <v>523</v>
      </c>
      <c r="C144" s="2">
        <v>7</v>
      </c>
      <c r="D144" t="s">
        <v>432</v>
      </c>
    </row>
    <row r="145" spans="1:4">
      <c r="A145" s="1">
        <v>143</v>
      </c>
      <c r="B145" s="2" t="s">
        <v>524</v>
      </c>
      <c r="C145" s="2">
        <v>7</v>
      </c>
      <c r="D145" t="s">
        <v>392</v>
      </c>
    </row>
    <row r="146" spans="1:4">
      <c r="A146" s="1">
        <v>144</v>
      </c>
      <c r="B146" s="2" t="s">
        <v>525</v>
      </c>
      <c r="C146" s="2">
        <v>6</v>
      </c>
      <c r="D146" t="s">
        <v>471</v>
      </c>
    </row>
    <row r="147" spans="1:4">
      <c r="A147" s="1">
        <v>145</v>
      </c>
      <c r="B147" s="2" t="s">
        <v>526</v>
      </c>
      <c r="C147" s="2">
        <v>6</v>
      </c>
      <c r="D147" t="s">
        <v>471</v>
      </c>
    </row>
    <row r="148" spans="1:4">
      <c r="A148" s="1">
        <v>146</v>
      </c>
      <c r="B148" s="2" t="s">
        <v>527</v>
      </c>
      <c r="C148" s="2">
        <v>6</v>
      </c>
      <c r="D148" t="s">
        <v>471</v>
      </c>
    </row>
    <row r="149" spans="1:4">
      <c r="A149" s="1">
        <v>147</v>
      </c>
      <c r="B149" s="2" t="s">
        <v>528</v>
      </c>
      <c r="C149" s="2">
        <v>6</v>
      </c>
      <c r="D149" t="s">
        <v>13</v>
      </c>
    </row>
    <row r="150" spans="1:4">
      <c r="A150" s="1">
        <v>148</v>
      </c>
      <c r="B150" s="2" t="s">
        <v>529</v>
      </c>
      <c r="C150" s="2">
        <v>6</v>
      </c>
      <c r="D150" t="s">
        <v>71</v>
      </c>
    </row>
    <row r="151" spans="1:4">
      <c r="A151" s="1">
        <v>149</v>
      </c>
      <c r="B151" s="2" t="s">
        <v>530</v>
      </c>
      <c r="C151" s="2">
        <v>6</v>
      </c>
      <c r="D151" t="s">
        <v>471</v>
      </c>
    </row>
    <row r="152" spans="1:4">
      <c r="A152" s="1">
        <v>150</v>
      </c>
      <c r="B152" s="2" t="s">
        <v>531</v>
      </c>
      <c r="C152" s="2">
        <v>6</v>
      </c>
      <c r="D152" t="s">
        <v>83</v>
      </c>
    </row>
    <row r="153" spans="1:4">
      <c r="A153" s="1">
        <v>151</v>
      </c>
      <c r="B153" s="2" t="s">
        <v>532</v>
      </c>
      <c r="C153" s="2">
        <v>6</v>
      </c>
    </row>
    <row r="154" spans="1:4">
      <c r="A154" s="1">
        <v>152</v>
      </c>
      <c r="B154" s="2" t="s">
        <v>533</v>
      </c>
      <c r="C154" s="2">
        <v>6</v>
      </c>
      <c r="D154" t="s">
        <v>471</v>
      </c>
    </row>
    <row r="155" spans="1:4">
      <c r="A155" s="1">
        <v>153</v>
      </c>
      <c r="B155" s="2" t="s">
        <v>534</v>
      </c>
      <c r="C155" s="2">
        <v>5</v>
      </c>
      <c r="D155" t="s">
        <v>471</v>
      </c>
    </row>
    <row r="156" spans="1:4">
      <c r="A156" s="1">
        <v>154</v>
      </c>
      <c r="B156" s="2" t="s">
        <v>535</v>
      </c>
      <c r="C156" s="2">
        <v>5</v>
      </c>
      <c r="D156" t="s">
        <v>61</v>
      </c>
    </row>
    <row r="157" spans="1:4">
      <c r="A157" s="1">
        <v>155</v>
      </c>
      <c r="B157" s="2" t="s">
        <v>536</v>
      </c>
      <c r="C157" s="2">
        <v>5</v>
      </c>
      <c r="D157" t="s">
        <v>471</v>
      </c>
    </row>
    <row r="158" spans="1:4">
      <c r="A158" s="1">
        <v>156</v>
      </c>
      <c r="B158" s="2" t="s">
        <v>537</v>
      </c>
      <c r="C158" s="2">
        <v>5</v>
      </c>
      <c r="D158" t="s">
        <v>61</v>
      </c>
    </row>
    <row r="159" spans="1:4">
      <c r="A159" s="1">
        <v>157</v>
      </c>
      <c r="B159" s="2" t="s">
        <v>538</v>
      </c>
      <c r="C159" s="2">
        <v>5</v>
      </c>
      <c r="D159" t="s">
        <v>471</v>
      </c>
    </row>
    <row r="160" spans="1:4">
      <c r="A160" s="1">
        <v>158</v>
      </c>
      <c r="B160" s="2" t="s">
        <v>539</v>
      </c>
      <c r="C160" s="2">
        <v>5</v>
      </c>
    </row>
    <row r="161" spans="1:5">
      <c r="A161" s="1">
        <v>159</v>
      </c>
      <c r="B161" s="2" t="s">
        <v>540</v>
      </c>
      <c r="C161" s="2">
        <v>5</v>
      </c>
      <c r="D161" t="s">
        <v>53</v>
      </c>
    </row>
    <row r="162" spans="1:5">
      <c r="A162" s="1">
        <v>160</v>
      </c>
      <c r="B162" s="2" t="s">
        <v>541</v>
      </c>
      <c r="C162" s="2">
        <v>5</v>
      </c>
      <c r="D162" t="s">
        <v>39</v>
      </c>
    </row>
    <row r="163" spans="1:5">
      <c r="A163" s="1">
        <v>161</v>
      </c>
      <c r="B163" s="2" t="s">
        <v>542</v>
      </c>
      <c r="C163" s="2">
        <v>5</v>
      </c>
      <c r="D163" t="s">
        <v>471</v>
      </c>
    </row>
    <row r="164" spans="1:5">
      <c r="A164" s="1">
        <v>162</v>
      </c>
      <c r="B164" s="2" t="s">
        <v>543</v>
      </c>
      <c r="C164" s="2">
        <v>5</v>
      </c>
      <c r="D164" t="s">
        <v>64</v>
      </c>
    </row>
    <row r="165" spans="1:5">
      <c r="A165" s="1">
        <v>163</v>
      </c>
      <c r="B165" s="2" t="s">
        <v>544</v>
      </c>
      <c r="C165" s="2">
        <v>5</v>
      </c>
      <c r="D165" t="s">
        <v>471</v>
      </c>
    </row>
    <row r="166" spans="1:5">
      <c r="A166" s="1">
        <v>164</v>
      </c>
      <c r="B166" s="2" t="s">
        <v>545</v>
      </c>
      <c r="C166" s="2">
        <v>5</v>
      </c>
      <c r="D166" t="s">
        <v>471</v>
      </c>
    </row>
    <row r="167" spans="1:5">
      <c r="A167" s="1">
        <v>165</v>
      </c>
      <c r="B167" s="2" t="s">
        <v>546</v>
      </c>
      <c r="C167" s="2">
        <v>5</v>
      </c>
      <c r="D167" t="s">
        <v>471</v>
      </c>
      <c r="E167" t="s">
        <v>547</v>
      </c>
    </row>
    <row r="168" spans="1:5">
      <c r="A168" s="1">
        <v>166</v>
      </c>
      <c r="B168" s="2" t="s">
        <v>548</v>
      </c>
      <c r="C168" s="2">
        <v>5</v>
      </c>
      <c r="D168" t="s">
        <v>471</v>
      </c>
    </row>
    <row r="169" spans="1:5">
      <c r="A169" s="1">
        <v>167</v>
      </c>
      <c r="B169" s="2" t="s">
        <v>549</v>
      </c>
      <c r="C169" s="2">
        <v>5</v>
      </c>
    </row>
    <row r="170" spans="1:5">
      <c r="A170" s="1">
        <v>168</v>
      </c>
      <c r="B170" s="2" t="s">
        <v>550</v>
      </c>
      <c r="C170" s="2">
        <v>5</v>
      </c>
      <c r="D170" t="s">
        <v>471</v>
      </c>
    </row>
    <row r="171" spans="1:5">
      <c r="A171" s="1">
        <v>169</v>
      </c>
      <c r="B171" s="2" t="s">
        <v>551</v>
      </c>
      <c r="C171" s="2">
        <v>4</v>
      </c>
      <c r="D171" t="s">
        <v>471</v>
      </c>
    </row>
    <row r="172" spans="1:5">
      <c r="A172" s="1">
        <v>170</v>
      </c>
      <c r="B172" s="2" t="s">
        <v>552</v>
      </c>
      <c r="C172" s="2">
        <v>4</v>
      </c>
      <c r="D172" t="s">
        <v>471</v>
      </c>
    </row>
    <row r="173" spans="1:5">
      <c r="A173" s="1">
        <v>171</v>
      </c>
      <c r="B173" s="2" t="s">
        <v>553</v>
      </c>
      <c r="C173" s="2">
        <v>4</v>
      </c>
      <c r="D173" t="s">
        <v>471</v>
      </c>
    </row>
    <row r="174" spans="1:5">
      <c r="A174" s="1">
        <v>172</v>
      </c>
      <c r="B174" s="2" t="s">
        <v>554</v>
      </c>
      <c r="C174" s="2">
        <v>4</v>
      </c>
      <c r="D174" t="s">
        <v>471</v>
      </c>
    </row>
    <row r="175" spans="1:5">
      <c r="A175" s="1">
        <v>173</v>
      </c>
      <c r="B175" s="2" t="s">
        <v>555</v>
      </c>
      <c r="C175" s="2">
        <v>4</v>
      </c>
      <c r="D175" t="s">
        <v>164</v>
      </c>
    </row>
    <row r="176" spans="1:5">
      <c r="A176" s="1">
        <v>174</v>
      </c>
      <c r="B176" s="2" t="s">
        <v>556</v>
      </c>
      <c r="C176" s="2">
        <v>4</v>
      </c>
      <c r="D176" t="s">
        <v>471</v>
      </c>
    </row>
    <row r="177" spans="1:5">
      <c r="A177" s="1">
        <v>175</v>
      </c>
      <c r="B177" s="2" t="s">
        <v>557</v>
      </c>
      <c r="C177" s="2">
        <v>4</v>
      </c>
      <c r="D177" t="s">
        <v>471</v>
      </c>
    </row>
    <row r="178" spans="1:5">
      <c r="A178" s="1">
        <v>176</v>
      </c>
      <c r="B178" s="2" t="s">
        <v>558</v>
      </c>
      <c r="C178" s="2">
        <v>4</v>
      </c>
      <c r="D178" t="s">
        <v>471</v>
      </c>
    </row>
    <row r="179" spans="1:5">
      <c r="A179" s="1">
        <v>177</v>
      </c>
      <c r="B179" s="2" t="s">
        <v>559</v>
      </c>
      <c r="C179" s="2">
        <v>4</v>
      </c>
      <c r="D179" t="s">
        <v>471</v>
      </c>
    </row>
    <row r="180" spans="1:5">
      <c r="A180" s="1">
        <v>178</v>
      </c>
      <c r="B180" s="2" t="s">
        <v>560</v>
      </c>
      <c r="C180" s="2">
        <v>4</v>
      </c>
      <c r="D180" t="s">
        <v>471</v>
      </c>
    </row>
    <row r="181" spans="1:5">
      <c r="A181" s="1">
        <v>179</v>
      </c>
      <c r="B181" s="2" t="s">
        <v>561</v>
      </c>
      <c r="C181" s="2">
        <v>4</v>
      </c>
      <c r="D181" t="s">
        <v>471</v>
      </c>
    </row>
    <row r="182" spans="1:5">
      <c r="A182" s="1">
        <v>180</v>
      </c>
      <c r="B182" s="2" t="s">
        <v>562</v>
      </c>
      <c r="C182" s="2">
        <v>4</v>
      </c>
    </row>
    <row r="183" spans="1:5">
      <c r="A183" s="1">
        <v>181</v>
      </c>
      <c r="B183" s="2" t="s">
        <v>563</v>
      </c>
      <c r="C183" s="2">
        <v>4</v>
      </c>
      <c r="D183" t="s">
        <v>471</v>
      </c>
    </row>
    <row r="184" spans="1:5">
      <c r="A184" s="1">
        <v>182</v>
      </c>
      <c r="B184" s="2" t="s">
        <v>564</v>
      </c>
      <c r="C184" s="2">
        <v>4</v>
      </c>
      <c r="D184" t="s">
        <v>471</v>
      </c>
    </row>
    <row r="185" spans="1:5">
      <c r="A185" s="1">
        <v>183</v>
      </c>
      <c r="B185" s="2" t="s">
        <v>565</v>
      </c>
      <c r="C185" s="2">
        <v>4</v>
      </c>
      <c r="D185" t="s">
        <v>471</v>
      </c>
    </row>
    <row r="186" spans="1:5">
      <c r="A186" s="1">
        <v>184</v>
      </c>
      <c r="B186" s="2" t="s">
        <v>566</v>
      </c>
      <c r="C186" s="2">
        <v>4</v>
      </c>
      <c r="D186" t="s">
        <v>471</v>
      </c>
    </row>
    <row r="187" spans="1:5">
      <c r="A187" s="1">
        <v>185</v>
      </c>
      <c r="B187" s="2" t="s">
        <v>567</v>
      </c>
      <c r="C187" s="2">
        <v>4</v>
      </c>
      <c r="D187" t="s">
        <v>471</v>
      </c>
    </row>
    <row r="188" spans="1:5">
      <c r="A188" s="1">
        <v>186</v>
      </c>
      <c r="B188" s="2" t="s">
        <v>568</v>
      </c>
      <c r="C188" s="2">
        <v>4</v>
      </c>
      <c r="D188" t="s">
        <v>471</v>
      </c>
    </row>
    <row r="189" spans="1:5">
      <c r="A189" s="1">
        <v>187</v>
      </c>
      <c r="B189" s="2" t="s">
        <v>569</v>
      </c>
      <c r="C189" s="2">
        <v>4</v>
      </c>
      <c r="D189" t="s">
        <v>471</v>
      </c>
    </row>
    <row r="190" spans="1:5">
      <c r="A190" s="1">
        <v>188</v>
      </c>
      <c r="B190" s="2" t="s">
        <v>570</v>
      </c>
      <c r="C190" s="2">
        <v>4</v>
      </c>
      <c r="D190" t="s">
        <v>471</v>
      </c>
    </row>
    <row r="191" spans="1:5">
      <c r="A191" s="1">
        <v>189</v>
      </c>
      <c r="B191" s="2" t="s">
        <v>571</v>
      </c>
      <c r="C191" s="2">
        <v>4</v>
      </c>
      <c r="D191" t="s">
        <v>471</v>
      </c>
    </row>
    <row r="192" spans="1:5">
      <c r="A192" s="1">
        <v>190</v>
      </c>
      <c r="B192" s="2" t="s">
        <v>572</v>
      </c>
      <c r="C192" s="2">
        <v>4</v>
      </c>
      <c r="E192" t="s">
        <v>573</v>
      </c>
    </row>
    <row r="193" spans="1:4">
      <c r="A193" s="1">
        <v>191</v>
      </c>
      <c r="B193" s="2" t="s">
        <v>574</v>
      </c>
      <c r="C193" s="2">
        <v>4</v>
      </c>
      <c r="D193" t="s">
        <v>471</v>
      </c>
    </row>
    <row r="194" spans="1:4">
      <c r="A194" s="1">
        <v>192</v>
      </c>
      <c r="B194" s="2" t="s">
        <v>575</v>
      </c>
      <c r="C194" s="2">
        <v>4</v>
      </c>
      <c r="D194" t="s">
        <v>471</v>
      </c>
    </row>
    <row r="195" spans="1:4">
      <c r="A195" s="1">
        <v>193</v>
      </c>
      <c r="B195" s="2" t="s">
        <v>576</v>
      </c>
      <c r="C195" s="2">
        <v>4</v>
      </c>
      <c r="D195" t="s">
        <v>471</v>
      </c>
    </row>
    <row r="196" spans="1:4">
      <c r="A196" s="1">
        <v>194</v>
      </c>
      <c r="B196" s="2" t="s">
        <v>577</v>
      </c>
      <c r="C196" s="2">
        <v>4</v>
      </c>
      <c r="D196" t="s">
        <v>471</v>
      </c>
    </row>
    <row r="197" spans="1:4">
      <c r="A197" s="1">
        <v>195</v>
      </c>
      <c r="B197" s="2" t="s">
        <v>578</v>
      </c>
      <c r="C197" s="2">
        <v>4</v>
      </c>
      <c r="D197" t="s">
        <v>471</v>
      </c>
    </row>
    <row r="198" spans="1:4">
      <c r="A198" s="1">
        <v>196</v>
      </c>
      <c r="B198" s="2" t="s">
        <v>39</v>
      </c>
      <c r="C198" s="2">
        <v>3</v>
      </c>
      <c r="D198" t="s">
        <v>471</v>
      </c>
    </row>
    <row r="199" spans="1:4">
      <c r="A199" s="1">
        <v>197</v>
      </c>
      <c r="B199" s="2" t="s">
        <v>579</v>
      </c>
      <c r="C199" s="2">
        <v>3</v>
      </c>
    </row>
    <row r="200" spans="1:4">
      <c r="A200" s="1">
        <v>198</v>
      </c>
      <c r="B200" s="2" t="s">
        <v>580</v>
      </c>
      <c r="C200" s="2">
        <v>3</v>
      </c>
      <c r="D200" t="s">
        <v>471</v>
      </c>
    </row>
    <row r="201" spans="1:4">
      <c r="A201" s="1">
        <v>199</v>
      </c>
      <c r="B201" s="2" t="s">
        <v>581</v>
      </c>
      <c r="C201" s="2">
        <v>3</v>
      </c>
      <c r="D201" t="s">
        <v>64</v>
      </c>
    </row>
    <row r="202" spans="1:4">
      <c r="A202" s="1">
        <v>200</v>
      </c>
      <c r="B202" s="2" t="s">
        <v>582</v>
      </c>
      <c r="C202" s="2">
        <v>3</v>
      </c>
      <c r="D202" t="s">
        <v>471</v>
      </c>
    </row>
    <row r="203" spans="1:4">
      <c r="A203" s="1">
        <v>201</v>
      </c>
      <c r="B203" s="2" t="s">
        <v>583</v>
      </c>
      <c r="C203" s="2">
        <v>3</v>
      </c>
    </row>
    <row r="204" spans="1:4">
      <c r="A204" s="1">
        <v>202</v>
      </c>
      <c r="B204" s="2" t="s">
        <v>584</v>
      </c>
      <c r="C204" s="2">
        <v>3</v>
      </c>
      <c r="D204" t="s">
        <v>471</v>
      </c>
    </row>
    <row r="205" spans="1:4">
      <c r="A205" s="1">
        <v>203</v>
      </c>
      <c r="B205" s="2" t="s">
        <v>585</v>
      </c>
      <c r="C205" s="2">
        <v>3</v>
      </c>
      <c r="D205" t="s">
        <v>471</v>
      </c>
    </row>
    <row r="206" spans="1:4">
      <c r="A206" s="1">
        <v>204</v>
      </c>
      <c r="B206" s="2" t="s">
        <v>586</v>
      </c>
      <c r="C206" s="2">
        <v>3</v>
      </c>
      <c r="D206" t="s">
        <v>471</v>
      </c>
    </row>
    <row r="207" spans="1:4">
      <c r="A207" s="1">
        <v>205</v>
      </c>
      <c r="B207" s="2" t="s">
        <v>587</v>
      </c>
      <c r="C207" s="2">
        <v>3</v>
      </c>
      <c r="D207" t="s">
        <v>471</v>
      </c>
    </row>
    <row r="208" spans="1:4">
      <c r="A208" s="1">
        <v>206</v>
      </c>
      <c r="B208" s="2" t="s">
        <v>588</v>
      </c>
      <c r="C208" s="2">
        <v>3</v>
      </c>
      <c r="D208" t="s">
        <v>471</v>
      </c>
    </row>
    <row r="209" spans="1:4">
      <c r="A209" s="1">
        <v>207</v>
      </c>
      <c r="B209" s="2" t="s">
        <v>589</v>
      </c>
      <c r="C209" s="2">
        <v>3</v>
      </c>
      <c r="D209" t="s">
        <v>471</v>
      </c>
    </row>
    <row r="210" spans="1:4">
      <c r="A210" s="1">
        <v>208</v>
      </c>
      <c r="B210" s="2" t="s">
        <v>590</v>
      </c>
      <c r="C210" s="2">
        <v>3</v>
      </c>
      <c r="D210" t="s">
        <v>471</v>
      </c>
    </row>
    <row r="211" spans="1:4">
      <c r="A211" s="1">
        <v>209</v>
      </c>
      <c r="B211" s="2" t="s">
        <v>591</v>
      </c>
      <c r="C211" s="2">
        <v>3</v>
      </c>
      <c r="D211" t="s">
        <v>471</v>
      </c>
    </row>
    <row r="212" spans="1:4">
      <c r="A212" s="1">
        <v>210</v>
      </c>
      <c r="B212" s="2" t="s">
        <v>592</v>
      </c>
      <c r="C212" s="2">
        <v>3</v>
      </c>
      <c r="D212" t="s">
        <v>471</v>
      </c>
    </row>
    <row r="213" spans="1:4">
      <c r="A213" s="1">
        <v>211</v>
      </c>
      <c r="B213" s="2" t="s">
        <v>593</v>
      </c>
      <c r="C213" s="2">
        <v>3</v>
      </c>
      <c r="D213" t="s">
        <v>407</v>
      </c>
    </row>
    <row r="214" spans="1:4">
      <c r="A214" s="1">
        <v>212</v>
      </c>
      <c r="B214" s="2" t="s">
        <v>594</v>
      </c>
      <c r="C214" s="2">
        <v>3</v>
      </c>
      <c r="D214" t="s">
        <v>471</v>
      </c>
    </row>
    <row r="215" spans="1:4">
      <c r="A215" s="1">
        <v>213</v>
      </c>
      <c r="B215" s="2" t="s">
        <v>21</v>
      </c>
      <c r="C215" s="2">
        <v>3</v>
      </c>
      <c r="D215" t="s">
        <v>471</v>
      </c>
    </row>
    <row r="216" spans="1:4">
      <c r="A216" s="1">
        <v>214</v>
      </c>
      <c r="B216" s="2" t="s">
        <v>595</v>
      </c>
      <c r="C216" s="2">
        <v>3</v>
      </c>
    </row>
    <row r="217" spans="1:4">
      <c r="A217" s="1">
        <v>215</v>
      </c>
      <c r="B217" s="2" t="s">
        <v>596</v>
      </c>
      <c r="C217" s="2">
        <v>3</v>
      </c>
    </row>
    <row r="218" spans="1:4">
      <c r="A218" s="1">
        <v>216</v>
      </c>
      <c r="B218" s="2" t="s">
        <v>597</v>
      </c>
      <c r="C218" s="2">
        <v>3</v>
      </c>
      <c r="D218" t="s">
        <v>471</v>
      </c>
    </row>
    <row r="219" spans="1:4">
      <c r="A219" s="1">
        <v>217</v>
      </c>
      <c r="B219" s="2" t="s">
        <v>598</v>
      </c>
      <c r="C219" s="2">
        <v>3</v>
      </c>
      <c r="D219" t="s">
        <v>471</v>
      </c>
    </row>
    <row r="220" spans="1:4">
      <c r="A220" s="1">
        <v>218</v>
      </c>
      <c r="B220" s="2" t="s">
        <v>599</v>
      </c>
      <c r="C220" s="2">
        <v>2</v>
      </c>
      <c r="D220" t="s">
        <v>53</v>
      </c>
    </row>
    <row r="221" spans="1:4">
      <c r="A221" s="1">
        <v>219</v>
      </c>
      <c r="B221" s="2" t="s">
        <v>600</v>
      </c>
      <c r="C221" s="2">
        <v>2</v>
      </c>
      <c r="D221" t="s">
        <v>471</v>
      </c>
    </row>
    <row r="222" spans="1:4">
      <c r="A222" s="1">
        <v>220</v>
      </c>
      <c r="B222" s="2" t="s">
        <v>601</v>
      </c>
      <c r="C222" s="2">
        <v>2</v>
      </c>
      <c r="D222" t="s">
        <v>471</v>
      </c>
    </row>
    <row r="223" spans="1:4">
      <c r="A223" s="1">
        <v>221</v>
      </c>
      <c r="B223" s="2" t="s">
        <v>602</v>
      </c>
      <c r="C223" s="2">
        <v>2</v>
      </c>
      <c r="D223" t="s">
        <v>164</v>
      </c>
    </row>
    <row r="224" spans="1:4">
      <c r="A224" s="1">
        <v>222</v>
      </c>
      <c r="B224" s="2" t="s">
        <v>603</v>
      </c>
      <c r="C224" s="2">
        <v>2</v>
      </c>
      <c r="D224" t="s">
        <v>471</v>
      </c>
    </row>
    <row r="225" spans="1:4">
      <c r="A225" s="1">
        <v>223</v>
      </c>
      <c r="B225" s="2" t="s">
        <v>604</v>
      </c>
      <c r="C225" s="2">
        <v>2</v>
      </c>
      <c r="D225" t="s">
        <v>471</v>
      </c>
    </row>
    <row r="226" spans="1:4">
      <c r="A226" s="1">
        <v>224</v>
      </c>
      <c r="B226" s="2" t="s">
        <v>605</v>
      </c>
      <c r="C226" s="2">
        <v>2</v>
      </c>
      <c r="D226" t="s">
        <v>471</v>
      </c>
    </row>
    <row r="227" spans="1:4">
      <c r="A227" s="1">
        <v>225</v>
      </c>
      <c r="B227" s="2" t="s">
        <v>606</v>
      </c>
      <c r="C227" s="2">
        <v>2</v>
      </c>
      <c r="D227" t="s">
        <v>471</v>
      </c>
    </row>
    <row r="228" spans="1:4">
      <c r="A228" s="1">
        <v>226</v>
      </c>
      <c r="B228" s="2" t="s">
        <v>607</v>
      </c>
      <c r="C228" s="2">
        <v>2</v>
      </c>
    </row>
    <row r="229" spans="1:4">
      <c r="A229" s="1">
        <v>227</v>
      </c>
      <c r="B229" s="2" t="s">
        <v>608</v>
      </c>
      <c r="C229" s="2">
        <v>2</v>
      </c>
      <c r="D229" t="s">
        <v>42</v>
      </c>
    </row>
    <row r="230" spans="1:4">
      <c r="A230" s="1">
        <v>228</v>
      </c>
      <c r="B230" s="2" t="s">
        <v>609</v>
      </c>
      <c r="C230" s="2">
        <v>2</v>
      </c>
      <c r="D230" t="s">
        <v>471</v>
      </c>
    </row>
    <row r="231" spans="1:4">
      <c r="A231" s="1">
        <v>229</v>
      </c>
      <c r="B231" s="2" t="s">
        <v>610</v>
      </c>
      <c r="C231" s="2">
        <v>2</v>
      </c>
      <c r="D231" t="s">
        <v>471</v>
      </c>
    </row>
    <row r="232" spans="1:4">
      <c r="A232" s="1">
        <v>230</v>
      </c>
      <c r="B232" s="2" t="s">
        <v>611</v>
      </c>
      <c r="C232" s="2">
        <v>2</v>
      </c>
      <c r="D232" t="s">
        <v>471</v>
      </c>
    </row>
    <row r="233" spans="1:4">
      <c r="A233" s="1">
        <v>231</v>
      </c>
      <c r="B233" s="2" t="s">
        <v>612</v>
      </c>
      <c r="C233" s="2">
        <v>2</v>
      </c>
      <c r="D233" t="s">
        <v>471</v>
      </c>
    </row>
    <row r="234" spans="1:4">
      <c r="A234" s="1">
        <v>232</v>
      </c>
      <c r="B234" s="2" t="s">
        <v>613</v>
      </c>
      <c r="C234" s="2">
        <v>2</v>
      </c>
      <c r="D234" t="s">
        <v>471</v>
      </c>
    </row>
    <row r="235" spans="1:4">
      <c r="A235" s="1">
        <v>233</v>
      </c>
      <c r="B235" s="2" t="s">
        <v>614</v>
      </c>
      <c r="C235" s="2">
        <v>2</v>
      </c>
      <c r="D235" t="s">
        <v>471</v>
      </c>
    </row>
    <row r="236" spans="1:4">
      <c r="A236" s="1">
        <v>234</v>
      </c>
      <c r="B236" s="2" t="s">
        <v>615</v>
      </c>
      <c r="C236" s="2">
        <v>2</v>
      </c>
    </row>
    <row r="237" spans="1:4">
      <c r="A237" s="1">
        <v>235</v>
      </c>
      <c r="B237" s="2" t="s">
        <v>616</v>
      </c>
      <c r="C237" s="2">
        <v>2</v>
      </c>
      <c r="D237" t="s">
        <v>471</v>
      </c>
    </row>
    <row r="238" spans="1:4">
      <c r="A238" s="1">
        <v>236</v>
      </c>
      <c r="B238" s="2" t="s">
        <v>617</v>
      </c>
      <c r="C238" s="2">
        <v>2</v>
      </c>
      <c r="D238" t="s">
        <v>53</v>
      </c>
    </row>
    <row r="239" spans="1:4">
      <c r="A239" s="1">
        <v>237</v>
      </c>
      <c r="B239" s="2" t="s">
        <v>618</v>
      </c>
      <c r="C239" s="2">
        <v>2</v>
      </c>
      <c r="D239" t="s">
        <v>471</v>
      </c>
    </row>
    <row r="240" spans="1:4">
      <c r="A240" s="1">
        <v>238</v>
      </c>
      <c r="B240" s="2" t="s">
        <v>619</v>
      </c>
      <c r="C240" s="2">
        <v>2</v>
      </c>
      <c r="D240" t="s">
        <v>471</v>
      </c>
    </row>
    <row r="241" spans="1:4">
      <c r="A241" s="1">
        <v>239</v>
      </c>
      <c r="B241" s="2" t="s">
        <v>620</v>
      </c>
      <c r="C241" s="2">
        <v>2</v>
      </c>
      <c r="D241" t="s">
        <v>471</v>
      </c>
    </row>
    <row r="242" spans="1:4">
      <c r="A242" s="1">
        <v>240</v>
      </c>
      <c r="B242" s="2" t="s">
        <v>621</v>
      </c>
      <c r="C242" s="2">
        <v>2</v>
      </c>
      <c r="D242" t="s">
        <v>471</v>
      </c>
    </row>
    <row r="243" spans="1:4">
      <c r="A243" s="1">
        <v>241</v>
      </c>
      <c r="B243" s="2" t="s">
        <v>622</v>
      </c>
      <c r="C243" s="2">
        <v>2</v>
      </c>
      <c r="D243" t="s">
        <v>471</v>
      </c>
    </row>
    <row r="244" spans="1:4">
      <c r="A244" s="1">
        <v>242</v>
      </c>
      <c r="B244" s="2" t="s">
        <v>623</v>
      </c>
      <c r="C244" s="2">
        <v>2</v>
      </c>
      <c r="D244" t="s">
        <v>471</v>
      </c>
    </row>
    <row r="245" spans="1:4">
      <c r="A245" s="1">
        <v>243</v>
      </c>
      <c r="B245" s="2" t="s">
        <v>624</v>
      </c>
      <c r="C245" s="2">
        <v>2</v>
      </c>
      <c r="D245" t="s">
        <v>471</v>
      </c>
    </row>
    <row r="246" spans="1:4">
      <c r="A246" s="1">
        <v>244</v>
      </c>
      <c r="B246" s="2" t="s">
        <v>625</v>
      </c>
      <c r="C246" s="2">
        <v>2</v>
      </c>
      <c r="D246" t="s">
        <v>471</v>
      </c>
    </row>
    <row r="247" spans="1:4">
      <c r="A247" s="1">
        <v>245</v>
      </c>
      <c r="B247" s="2" t="s">
        <v>626</v>
      </c>
      <c r="C247" s="2">
        <v>2</v>
      </c>
      <c r="D247" t="s">
        <v>471</v>
      </c>
    </row>
    <row r="248" spans="1:4">
      <c r="A248" s="1">
        <v>246</v>
      </c>
      <c r="B248" s="2" t="s">
        <v>627</v>
      </c>
      <c r="C248" s="2">
        <v>2</v>
      </c>
      <c r="D248" t="s">
        <v>471</v>
      </c>
    </row>
    <row r="249" spans="1:4">
      <c r="A249" s="1">
        <v>247</v>
      </c>
      <c r="B249" s="2" t="s">
        <v>628</v>
      </c>
      <c r="C249" s="2">
        <v>2</v>
      </c>
      <c r="D249" t="s">
        <v>471</v>
      </c>
    </row>
    <row r="250" spans="1:4">
      <c r="A250" s="1">
        <v>248</v>
      </c>
      <c r="B250" s="2" t="s">
        <v>629</v>
      </c>
      <c r="C250" s="2">
        <v>2</v>
      </c>
      <c r="D250" t="s">
        <v>471</v>
      </c>
    </row>
    <row r="251" spans="1:4">
      <c r="A251" s="1">
        <v>249</v>
      </c>
      <c r="B251" s="2" t="s">
        <v>630</v>
      </c>
      <c r="C251" s="2">
        <v>2</v>
      </c>
      <c r="D251" t="s">
        <v>471</v>
      </c>
    </row>
    <row r="252" spans="1:4">
      <c r="A252" s="1">
        <v>250</v>
      </c>
      <c r="B252" s="2" t="s">
        <v>631</v>
      </c>
      <c r="C252" s="2">
        <v>2</v>
      </c>
      <c r="D252" t="s">
        <v>471</v>
      </c>
    </row>
    <row r="253" spans="1:4">
      <c r="A253" s="1">
        <v>251</v>
      </c>
      <c r="B253" s="2" t="s">
        <v>632</v>
      </c>
      <c r="C253" s="2">
        <v>2</v>
      </c>
      <c r="D253" t="s">
        <v>471</v>
      </c>
    </row>
    <row r="254" spans="1:4">
      <c r="A254" s="1">
        <v>252</v>
      </c>
      <c r="B254" s="2" t="s">
        <v>633</v>
      </c>
      <c r="C254" s="2">
        <v>2</v>
      </c>
    </row>
    <row r="255" spans="1:4">
      <c r="A255" s="1">
        <v>253</v>
      </c>
      <c r="B255" s="2" t="s">
        <v>634</v>
      </c>
      <c r="C255" s="2">
        <v>2</v>
      </c>
      <c r="D255" t="s">
        <v>471</v>
      </c>
    </row>
    <row r="256" spans="1:4">
      <c r="A256" s="1">
        <v>254</v>
      </c>
      <c r="B256" s="2" t="s">
        <v>635</v>
      </c>
      <c r="C256" s="2">
        <v>2</v>
      </c>
      <c r="D256" t="s">
        <v>471</v>
      </c>
    </row>
    <row r="257" spans="1:4">
      <c r="A257" s="1">
        <v>255</v>
      </c>
      <c r="B257" s="2" t="s">
        <v>636</v>
      </c>
      <c r="C257" s="2">
        <v>2</v>
      </c>
      <c r="D257" t="s">
        <v>471</v>
      </c>
    </row>
    <row r="258" spans="1:4">
      <c r="A258" s="1">
        <v>256</v>
      </c>
      <c r="B258" s="2" t="s">
        <v>637</v>
      </c>
      <c r="C258" s="2">
        <v>2</v>
      </c>
      <c r="D258" t="s">
        <v>471</v>
      </c>
    </row>
    <row r="259" spans="1:4">
      <c r="A259" s="1">
        <v>257</v>
      </c>
      <c r="B259" s="2" t="s">
        <v>638</v>
      </c>
      <c r="C259" s="2">
        <v>2</v>
      </c>
      <c r="D259" t="s">
        <v>471</v>
      </c>
    </row>
    <row r="260" spans="1:4">
      <c r="A260" s="1">
        <v>258</v>
      </c>
      <c r="B260" s="2" t="s">
        <v>639</v>
      </c>
      <c r="C260" s="2">
        <v>2</v>
      </c>
      <c r="D260" t="s">
        <v>471</v>
      </c>
    </row>
    <row r="261" spans="1:4">
      <c r="A261" s="1">
        <v>259</v>
      </c>
      <c r="B261" s="2" t="s">
        <v>337</v>
      </c>
      <c r="C261" s="2">
        <v>2</v>
      </c>
      <c r="D261" t="s">
        <v>471</v>
      </c>
    </row>
    <row r="262" spans="1:4">
      <c r="A262" s="1">
        <v>260</v>
      </c>
      <c r="B262" s="2" t="s">
        <v>640</v>
      </c>
      <c r="C262" s="2">
        <v>2</v>
      </c>
      <c r="D262" t="s">
        <v>432</v>
      </c>
    </row>
    <row r="263" spans="1:4">
      <c r="A263" s="1">
        <v>261</v>
      </c>
      <c r="B263" s="2" t="s">
        <v>641</v>
      </c>
      <c r="C263" s="2">
        <v>2</v>
      </c>
      <c r="D263" t="s">
        <v>471</v>
      </c>
    </row>
    <row r="264" spans="1:4">
      <c r="A264" s="1">
        <v>262</v>
      </c>
      <c r="B264" s="2" t="s">
        <v>642</v>
      </c>
      <c r="C264" s="2">
        <v>2</v>
      </c>
      <c r="D264" t="s">
        <v>471</v>
      </c>
    </row>
    <row r="265" spans="1:4">
      <c r="A265" s="1">
        <v>263</v>
      </c>
      <c r="B265" s="2" t="s">
        <v>643</v>
      </c>
      <c r="C265" s="2">
        <v>2</v>
      </c>
    </row>
    <row r="266" spans="1:4">
      <c r="A266" s="1">
        <v>264</v>
      </c>
      <c r="B266" s="2" t="s">
        <v>644</v>
      </c>
      <c r="C266" s="2">
        <v>2</v>
      </c>
      <c r="D266" t="s">
        <v>471</v>
      </c>
    </row>
    <row r="267" spans="1:4">
      <c r="A267" s="1">
        <v>265</v>
      </c>
      <c r="B267" s="2" t="s">
        <v>645</v>
      </c>
      <c r="C267" s="2">
        <v>2</v>
      </c>
      <c r="D267" t="s">
        <v>471</v>
      </c>
    </row>
    <row r="268" spans="1:4">
      <c r="A268" s="1">
        <v>266</v>
      </c>
      <c r="B268" s="2" t="s">
        <v>646</v>
      </c>
      <c r="C268" s="2">
        <v>2</v>
      </c>
      <c r="D268" t="s">
        <v>471</v>
      </c>
    </row>
    <row r="269" spans="1:4">
      <c r="A269" s="1">
        <v>267</v>
      </c>
      <c r="B269" s="2" t="s">
        <v>647</v>
      </c>
      <c r="C269" s="2">
        <v>2</v>
      </c>
      <c r="D269" t="s">
        <v>471</v>
      </c>
    </row>
    <row r="270" spans="1:4">
      <c r="A270" s="1">
        <v>268</v>
      </c>
      <c r="B270" s="2" t="s">
        <v>648</v>
      </c>
      <c r="C270" s="2">
        <v>2</v>
      </c>
      <c r="D270" t="s">
        <v>471</v>
      </c>
    </row>
    <row r="271" spans="1:4">
      <c r="A271" s="1">
        <v>269</v>
      </c>
      <c r="B271" s="2" t="s">
        <v>649</v>
      </c>
      <c r="C271" s="2">
        <v>2</v>
      </c>
    </row>
    <row r="272" spans="1:4">
      <c r="A272" s="1">
        <v>270</v>
      </c>
      <c r="B272" s="2" t="s">
        <v>650</v>
      </c>
      <c r="C272" s="2">
        <v>2</v>
      </c>
      <c r="D272" t="s">
        <v>471</v>
      </c>
    </row>
    <row r="273" spans="1:4">
      <c r="A273" s="1">
        <v>271</v>
      </c>
      <c r="B273" s="2" t="s">
        <v>651</v>
      </c>
      <c r="C273" s="2">
        <v>2</v>
      </c>
      <c r="D273" t="s">
        <v>471</v>
      </c>
    </row>
    <row r="274" spans="1:4">
      <c r="A274" s="1">
        <v>272</v>
      </c>
      <c r="B274" s="2" t="s">
        <v>652</v>
      </c>
      <c r="C274" s="2">
        <v>2</v>
      </c>
      <c r="D274" t="s">
        <v>471</v>
      </c>
    </row>
    <row r="275" spans="1:4">
      <c r="A275" s="1">
        <v>273</v>
      </c>
      <c r="B275" s="2" t="s">
        <v>653</v>
      </c>
      <c r="C275" s="2">
        <v>2</v>
      </c>
      <c r="D275" t="s">
        <v>471</v>
      </c>
    </row>
    <row r="276" spans="1:4">
      <c r="A276" s="1">
        <v>274</v>
      </c>
      <c r="B276" s="2" t="s">
        <v>654</v>
      </c>
      <c r="C276" s="2">
        <v>2</v>
      </c>
      <c r="D276" t="s">
        <v>471</v>
      </c>
    </row>
    <row r="277" spans="1:4">
      <c r="A277" s="1">
        <v>275</v>
      </c>
      <c r="B277" s="2" t="s">
        <v>655</v>
      </c>
      <c r="C277" s="2">
        <v>2</v>
      </c>
      <c r="D277" t="s">
        <v>471</v>
      </c>
    </row>
    <row r="278" spans="1:4">
      <c r="A278" s="1">
        <v>276</v>
      </c>
      <c r="B278" s="2" t="s">
        <v>656</v>
      </c>
      <c r="C278" s="2">
        <v>2</v>
      </c>
    </row>
    <row r="279" spans="1:4">
      <c r="A279" s="1">
        <v>277</v>
      </c>
      <c r="B279" s="2" t="s">
        <v>657</v>
      </c>
      <c r="C279" s="2">
        <v>2</v>
      </c>
      <c r="D279" t="s">
        <v>64</v>
      </c>
    </row>
    <row r="280" spans="1:4">
      <c r="A280" s="1">
        <v>278</v>
      </c>
      <c r="B280" s="2" t="s">
        <v>658</v>
      </c>
      <c r="C280" s="2">
        <v>2</v>
      </c>
      <c r="D280" t="s">
        <v>471</v>
      </c>
    </row>
    <row r="281" spans="1:4">
      <c r="A281" s="1">
        <v>279</v>
      </c>
      <c r="B281" s="2" t="s">
        <v>659</v>
      </c>
      <c r="C281" s="2">
        <v>2</v>
      </c>
      <c r="D281" t="s">
        <v>471</v>
      </c>
    </row>
    <row r="282" spans="1:4">
      <c r="A282" s="1">
        <v>280</v>
      </c>
      <c r="B282" s="2" t="s">
        <v>660</v>
      </c>
      <c r="C282" s="2">
        <v>2</v>
      </c>
      <c r="D282" t="s">
        <v>471</v>
      </c>
    </row>
    <row r="283" spans="1:4">
      <c r="A283" s="1">
        <v>281</v>
      </c>
      <c r="B283" s="2" t="s">
        <v>661</v>
      </c>
      <c r="C283" s="2">
        <v>2</v>
      </c>
      <c r="D283" t="s">
        <v>471</v>
      </c>
    </row>
    <row r="284" spans="1:4">
      <c r="A284" s="1">
        <v>282</v>
      </c>
      <c r="B284" s="2" t="s">
        <v>662</v>
      </c>
      <c r="C284" s="2">
        <v>1</v>
      </c>
      <c r="D284" t="s">
        <v>471</v>
      </c>
    </row>
    <row r="285" spans="1:4">
      <c r="A285" s="1">
        <v>283</v>
      </c>
      <c r="B285" s="2" t="s">
        <v>663</v>
      </c>
      <c r="C285" s="2">
        <v>1</v>
      </c>
      <c r="D285" t="s">
        <v>471</v>
      </c>
    </row>
    <row r="286" spans="1:4">
      <c r="A286" s="1">
        <v>284</v>
      </c>
      <c r="B286" s="2" t="s">
        <v>664</v>
      </c>
      <c r="C286" s="2">
        <v>1</v>
      </c>
      <c r="D286" t="s">
        <v>471</v>
      </c>
    </row>
    <row r="287" spans="1:4">
      <c r="A287" s="1">
        <v>285</v>
      </c>
      <c r="B287" s="2" t="s">
        <v>665</v>
      </c>
      <c r="C287" s="2">
        <v>1</v>
      </c>
      <c r="D287" t="s">
        <v>471</v>
      </c>
    </row>
    <row r="288" spans="1:4">
      <c r="A288" s="1">
        <v>286</v>
      </c>
      <c r="B288" s="2" t="s">
        <v>666</v>
      </c>
      <c r="C288" s="2">
        <v>1</v>
      </c>
      <c r="D288" t="s">
        <v>471</v>
      </c>
    </row>
    <row r="289" spans="1:4">
      <c r="A289" s="1">
        <v>287</v>
      </c>
      <c r="B289" s="2" t="s">
        <v>667</v>
      </c>
      <c r="C289" s="2">
        <v>1</v>
      </c>
      <c r="D289" s="2" t="s">
        <v>407</v>
      </c>
    </row>
    <row r="290" spans="1:4">
      <c r="A290" s="1">
        <v>288</v>
      </c>
      <c r="B290" s="2" t="s">
        <v>668</v>
      </c>
      <c r="C290" s="2">
        <v>1</v>
      </c>
      <c r="D290" t="s">
        <v>471</v>
      </c>
    </row>
    <row r="291" spans="1:4">
      <c r="A291" s="1">
        <v>289</v>
      </c>
      <c r="B291" s="2" t="s">
        <v>669</v>
      </c>
      <c r="C291" s="2">
        <v>1</v>
      </c>
      <c r="D291" t="s">
        <v>64</v>
      </c>
    </row>
    <row r="292" spans="1:4">
      <c r="A292" s="1">
        <v>290</v>
      </c>
      <c r="B292" s="2" t="s">
        <v>670</v>
      </c>
      <c r="C292" s="2">
        <v>1</v>
      </c>
      <c r="D292" t="s">
        <v>471</v>
      </c>
    </row>
    <row r="293" spans="1:4">
      <c r="A293" s="1">
        <v>291</v>
      </c>
      <c r="B293" s="2" t="s">
        <v>671</v>
      </c>
      <c r="C293" s="2">
        <v>1</v>
      </c>
      <c r="D293" t="s">
        <v>471</v>
      </c>
    </row>
    <row r="294" spans="1:4">
      <c r="A294" s="1">
        <v>292</v>
      </c>
      <c r="B294" s="2" t="s">
        <v>672</v>
      </c>
      <c r="C294" s="2">
        <v>1</v>
      </c>
      <c r="D294" t="s">
        <v>471</v>
      </c>
    </row>
    <row r="295" spans="1:4">
      <c r="A295" s="1">
        <v>293</v>
      </c>
      <c r="B295" s="2" t="s">
        <v>673</v>
      </c>
      <c r="C295" s="2">
        <v>1</v>
      </c>
      <c r="D295" t="s">
        <v>471</v>
      </c>
    </row>
    <row r="296" spans="1:4">
      <c r="A296" s="1">
        <v>294</v>
      </c>
      <c r="B296" s="2" t="s">
        <v>674</v>
      </c>
      <c r="C296" s="2">
        <v>1</v>
      </c>
      <c r="D296" t="s">
        <v>407</v>
      </c>
    </row>
    <row r="297" spans="1:4">
      <c r="A297" s="1">
        <v>295</v>
      </c>
      <c r="B297" s="2" t="s">
        <v>675</v>
      </c>
      <c r="C297" s="2">
        <v>1</v>
      </c>
      <c r="D297" t="s">
        <v>471</v>
      </c>
    </row>
    <row r="298" spans="1:4">
      <c r="A298" s="1">
        <v>296</v>
      </c>
      <c r="B298" s="2" t="s">
        <v>676</v>
      </c>
      <c r="C298" s="2">
        <v>1</v>
      </c>
      <c r="D298" t="s">
        <v>471</v>
      </c>
    </row>
    <row r="299" spans="1:4">
      <c r="A299" s="1">
        <v>297</v>
      </c>
      <c r="B299" s="2" t="s">
        <v>677</v>
      </c>
      <c r="C299" s="2">
        <v>1</v>
      </c>
      <c r="D299" t="s">
        <v>471</v>
      </c>
    </row>
    <row r="300" spans="1:4">
      <c r="A300" s="1">
        <v>298</v>
      </c>
      <c r="B300" s="2" t="s">
        <v>678</v>
      </c>
      <c r="C300" s="2">
        <v>1</v>
      </c>
      <c r="D300" t="s">
        <v>471</v>
      </c>
    </row>
    <row r="301" spans="1:4">
      <c r="A301" s="1">
        <v>299</v>
      </c>
      <c r="B301" s="2" t="s">
        <v>679</v>
      </c>
      <c r="C301" s="2">
        <v>1</v>
      </c>
      <c r="D301" t="s">
        <v>471</v>
      </c>
    </row>
    <row r="302" spans="1:4">
      <c r="A302" s="1">
        <v>300</v>
      </c>
      <c r="B302" s="2" t="s">
        <v>680</v>
      </c>
      <c r="C302" s="2">
        <v>1</v>
      </c>
      <c r="D302" t="s">
        <v>471</v>
      </c>
    </row>
    <row r="303" spans="1:4">
      <c r="A303" s="1">
        <v>301</v>
      </c>
      <c r="B303" s="2" t="s">
        <v>681</v>
      </c>
      <c r="C303" s="2">
        <v>1</v>
      </c>
      <c r="D303" t="s">
        <v>471</v>
      </c>
    </row>
    <row r="304" spans="1:4">
      <c r="A304" s="1">
        <v>302</v>
      </c>
      <c r="B304" s="2" t="s">
        <v>682</v>
      </c>
      <c r="C304" s="2">
        <v>1</v>
      </c>
      <c r="D304" t="s">
        <v>471</v>
      </c>
    </row>
    <row r="305" spans="1:4">
      <c r="A305" s="1">
        <v>303</v>
      </c>
      <c r="B305" s="2" t="s">
        <v>683</v>
      </c>
      <c r="C305" s="2">
        <v>1</v>
      </c>
      <c r="D305" t="s">
        <v>471</v>
      </c>
    </row>
    <row r="306" spans="1:4">
      <c r="A306" s="1">
        <v>304</v>
      </c>
      <c r="B306" s="2" t="s">
        <v>684</v>
      </c>
      <c r="C306" s="2">
        <v>1</v>
      </c>
      <c r="D306" t="s">
        <v>471</v>
      </c>
    </row>
    <row r="307" spans="1:4">
      <c r="A307" s="1">
        <v>305</v>
      </c>
      <c r="B307" s="2" t="s">
        <v>685</v>
      </c>
      <c r="C307" s="2">
        <v>1</v>
      </c>
      <c r="D307" t="s">
        <v>471</v>
      </c>
    </row>
    <row r="308" spans="1:4">
      <c r="A308" s="1">
        <v>306</v>
      </c>
      <c r="B308" s="2" t="s">
        <v>686</v>
      </c>
      <c r="C308" s="2">
        <v>1</v>
      </c>
      <c r="D308" t="s">
        <v>471</v>
      </c>
    </row>
    <row r="309" spans="1:4">
      <c r="A309" s="1">
        <v>307</v>
      </c>
      <c r="B309" s="2" t="s">
        <v>687</v>
      </c>
      <c r="C309" s="2">
        <v>1</v>
      </c>
      <c r="D309" t="s">
        <v>471</v>
      </c>
    </row>
    <row r="310" spans="1:4">
      <c r="A310" s="1">
        <v>308</v>
      </c>
      <c r="B310" s="2" t="s">
        <v>688</v>
      </c>
      <c r="C310" s="2">
        <v>1</v>
      </c>
      <c r="D310" t="s">
        <v>471</v>
      </c>
    </row>
    <row r="311" spans="1:4">
      <c r="A311" s="1">
        <v>309</v>
      </c>
      <c r="B311" s="2" t="s">
        <v>689</v>
      </c>
      <c r="C311" s="2">
        <v>1</v>
      </c>
      <c r="D311" t="s">
        <v>471</v>
      </c>
    </row>
    <row r="312" spans="1:4">
      <c r="A312" s="1">
        <v>310</v>
      </c>
      <c r="B312" s="2" t="s">
        <v>690</v>
      </c>
      <c r="C312" s="2">
        <v>1</v>
      </c>
      <c r="D312" t="s">
        <v>471</v>
      </c>
    </row>
    <row r="313" spans="1:4">
      <c r="A313" s="1">
        <v>311</v>
      </c>
      <c r="B313" s="2" t="s">
        <v>691</v>
      </c>
      <c r="C313" s="2">
        <v>1</v>
      </c>
      <c r="D313" t="s">
        <v>63</v>
      </c>
    </row>
    <row r="314" spans="1:4">
      <c r="A314" s="1">
        <v>312</v>
      </c>
      <c r="B314" s="2" t="s">
        <v>692</v>
      </c>
      <c r="C314" s="2">
        <v>1</v>
      </c>
      <c r="D314" t="s">
        <v>471</v>
      </c>
    </row>
    <row r="315" spans="1:4">
      <c r="A315" s="1">
        <v>313</v>
      </c>
      <c r="B315" s="2" t="s">
        <v>693</v>
      </c>
      <c r="C315" s="2">
        <v>1</v>
      </c>
      <c r="D315" t="s">
        <v>471</v>
      </c>
    </row>
    <row r="316" spans="1:4">
      <c r="A316" s="1">
        <v>314</v>
      </c>
      <c r="B316" s="2" t="s">
        <v>694</v>
      </c>
      <c r="C316" s="2">
        <v>1</v>
      </c>
      <c r="D316" t="s">
        <v>471</v>
      </c>
    </row>
    <row r="317" spans="1:4">
      <c r="A317" s="1">
        <v>315</v>
      </c>
      <c r="B317" s="2" t="s">
        <v>695</v>
      </c>
      <c r="C317" s="2">
        <v>1</v>
      </c>
      <c r="D317" t="s">
        <v>471</v>
      </c>
    </row>
    <row r="318" spans="1:4">
      <c r="A318" s="1">
        <v>316</v>
      </c>
      <c r="B318" s="2" t="s">
        <v>696</v>
      </c>
      <c r="C318" s="2">
        <v>1</v>
      </c>
      <c r="D318" t="s">
        <v>471</v>
      </c>
    </row>
    <row r="319" spans="1:4">
      <c r="A319" s="1">
        <v>317</v>
      </c>
      <c r="B319" s="2" t="s">
        <v>697</v>
      </c>
      <c r="C319" s="2">
        <v>1</v>
      </c>
      <c r="D319" t="s">
        <v>471</v>
      </c>
    </row>
    <row r="320" spans="1:4">
      <c r="A320" s="1">
        <v>318</v>
      </c>
      <c r="B320" s="2" t="s">
        <v>698</v>
      </c>
      <c r="C320" s="2">
        <v>1</v>
      </c>
      <c r="D320" t="s">
        <v>471</v>
      </c>
    </row>
    <row r="321" spans="1:4">
      <c r="A321" s="1">
        <v>319</v>
      </c>
      <c r="B321" s="2" t="s">
        <v>699</v>
      </c>
      <c r="C321" s="2">
        <v>1</v>
      </c>
      <c r="D321" t="s">
        <v>471</v>
      </c>
    </row>
    <row r="322" spans="1:4">
      <c r="A322" s="1">
        <v>320</v>
      </c>
      <c r="B322" s="2" t="s">
        <v>700</v>
      </c>
      <c r="C322" s="2">
        <v>1</v>
      </c>
      <c r="D322" t="s">
        <v>471</v>
      </c>
    </row>
    <row r="323" spans="1:4">
      <c r="A323" s="1">
        <v>321</v>
      </c>
      <c r="B323" s="2" t="s">
        <v>701</v>
      </c>
      <c r="C323" s="2">
        <v>1</v>
      </c>
      <c r="D323" t="s">
        <v>471</v>
      </c>
    </row>
    <row r="324" spans="1:4">
      <c r="A324" s="1">
        <v>322</v>
      </c>
      <c r="B324" s="2" t="s">
        <v>702</v>
      </c>
      <c r="C324" s="2">
        <v>1</v>
      </c>
      <c r="D324" t="s">
        <v>471</v>
      </c>
    </row>
    <row r="325" spans="1:4">
      <c r="A325" s="1">
        <v>323</v>
      </c>
      <c r="B325" s="2" t="s">
        <v>703</v>
      </c>
      <c r="C325" s="2">
        <v>1</v>
      </c>
      <c r="D325" t="s">
        <v>471</v>
      </c>
    </row>
    <row r="326" spans="1:4">
      <c r="A326" s="1">
        <v>324</v>
      </c>
      <c r="B326" s="2" t="s">
        <v>704</v>
      </c>
      <c r="C326" s="2">
        <v>1</v>
      </c>
      <c r="D326" t="s">
        <v>471</v>
      </c>
    </row>
    <row r="327" spans="1:4">
      <c r="A327" s="1">
        <v>325</v>
      </c>
      <c r="B327" s="2" t="s">
        <v>705</v>
      </c>
      <c r="C327" s="2">
        <v>1</v>
      </c>
      <c r="D327" t="s">
        <v>471</v>
      </c>
    </row>
    <row r="328" spans="1:4">
      <c r="A328" s="1">
        <v>326</v>
      </c>
      <c r="B328" s="2" t="s">
        <v>706</v>
      </c>
      <c r="C328" s="2">
        <v>1</v>
      </c>
      <c r="D328" t="s">
        <v>471</v>
      </c>
    </row>
    <row r="329" spans="1:4">
      <c r="A329" s="1">
        <v>327</v>
      </c>
      <c r="B329" s="2" t="s">
        <v>707</v>
      </c>
      <c r="C329" s="2">
        <v>1</v>
      </c>
      <c r="D329" t="s">
        <v>471</v>
      </c>
    </row>
    <row r="330" spans="1:4">
      <c r="A330" s="1">
        <v>328</v>
      </c>
      <c r="B330" s="2" t="s">
        <v>708</v>
      </c>
      <c r="C330" s="2">
        <v>1</v>
      </c>
      <c r="D330" t="s">
        <v>471</v>
      </c>
    </row>
    <row r="331" spans="1:4">
      <c r="A331" s="1">
        <v>329</v>
      </c>
      <c r="B331" s="2" t="s">
        <v>709</v>
      </c>
      <c r="C331" s="2">
        <v>1</v>
      </c>
      <c r="D331" s="13" t="s">
        <v>42</v>
      </c>
    </row>
    <row r="332" spans="1:4">
      <c r="A332" s="1">
        <v>330</v>
      </c>
      <c r="B332" s="2" t="s">
        <v>710</v>
      </c>
      <c r="C332" s="2">
        <v>1</v>
      </c>
      <c r="D332" t="s">
        <v>471</v>
      </c>
    </row>
    <row r="333" spans="1:4">
      <c r="A333" s="1">
        <v>331</v>
      </c>
      <c r="B333" s="2" t="s">
        <v>711</v>
      </c>
      <c r="C333" s="2">
        <v>1</v>
      </c>
      <c r="D333" t="s">
        <v>471</v>
      </c>
    </row>
    <row r="334" spans="1:4">
      <c r="A334" s="1">
        <v>332</v>
      </c>
      <c r="B334" s="2" t="s">
        <v>712</v>
      </c>
      <c r="C334" s="2">
        <v>1</v>
      </c>
      <c r="D334" t="s">
        <v>471</v>
      </c>
    </row>
    <row r="335" spans="1:4">
      <c r="A335" s="1">
        <v>333</v>
      </c>
      <c r="B335" s="2" t="s">
        <v>713</v>
      </c>
      <c r="C335" s="2">
        <v>1</v>
      </c>
      <c r="D335" t="s">
        <v>471</v>
      </c>
    </row>
    <row r="336" spans="1:4">
      <c r="A336" s="1">
        <v>334</v>
      </c>
      <c r="B336" s="2" t="s">
        <v>714</v>
      </c>
      <c r="C336" s="2">
        <v>1</v>
      </c>
      <c r="D336" t="s">
        <v>70</v>
      </c>
    </row>
    <row r="337" spans="1:4">
      <c r="A337" s="1">
        <v>335</v>
      </c>
      <c r="B337" s="2" t="s">
        <v>715</v>
      </c>
      <c r="C337" s="2">
        <v>1</v>
      </c>
      <c r="D337" t="s">
        <v>471</v>
      </c>
    </row>
    <row r="338" spans="1:4">
      <c r="A338" s="1">
        <v>336</v>
      </c>
      <c r="B338" s="2" t="s">
        <v>716</v>
      </c>
      <c r="C338" s="2">
        <v>1</v>
      </c>
      <c r="D338" t="s">
        <v>471</v>
      </c>
    </row>
    <row r="339" spans="1:4">
      <c r="A339" s="1">
        <v>337</v>
      </c>
      <c r="B339" s="2" t="s">
        <v>717</v>
      </c>
      <c r="C339" s="2">
        <v>1</v>
      </c>
      <c r="D339" t="s">
        <v>471</v>
      </c>
    </row>
    <row r="340" spans="1:4">
      <c r="A340" s="1">
        <v>338</v>
      </c>
      <c r="B340" s="2" t="s">
        <v>718</v>
      </c>
      <c r="C340" s="2">
        <v>1</v>
      </c>
      <c r="D340" t="s">
        <v>471</v>
      </c>
    </row>
    <row r="341" spans="1:4">
      <c r="A341" s="1">
        <v>339</v>
      </c>
      <c r="B341" s="2" t="s">
        <v>719</v>
      </c>
      <c r="C341" s="2">
        <v>1</v>
      </c>
      <c r="D341" t="s">
        <v>471</v>
      </c>
    </row>
    <row r="342" spans="1:4">
      <c r="A342" s="1">
        <v>340</v>
      </c>
      <c r="B342" s="2" t="s">
        <v>720</v>
      </c>
      <c r="C342" s="2">
        <v>1</v>
      </c>
      <c r="D342" t="s">
        <v>471</v>
      </c>
    </row>
    <row r="343" spans="1:4">
      <c r="A343" s="1">
        <v>341</v>
      </c>
      <c r="B343" s="2" t="s">
        <v>721</v>
      </c>
      <c r="C343" s="2">
        <v>1</v>
      </c>
      <c r="D343" t="s">
        <v>471</v>
      </c>
    </row>
    <row r="344" spans="1:4">
      <c r="A344" s="1">
        <v>342</v>
      </c>
      <c r="B344" s="2" t="s">
        <v>722</v>
      </c>
      <c r="C344" s="2">
        <v>1</v>
      </c>
      <c r="D344" t="s">
        <v>471</v>
      </c>
    </row>
    <row r="345" spans="1:4">
      <c r="A345" s="1">
        <v>343</v>
      </c>
      <c r="B345" s="2" t="s">
        <v>723</v>
      </c>
      <c r="C345" s="2">
        <v>1</v>
      </c>
      <c r="D345" t="s">
        <v>471</v>
      </c>
    </row>
    <row r="346" spans="1:4">
      <c r="A346" s="1">
        <v>344</v>
      </c>
      <c r="B346" s="2" t="s">
        <v>724</v>
      </c>
      <c r="C346" s="2">
        <v>1</v>
      </c>
      <c r="D346" t="s">
        <v>471</v>
      </c>
    </row>
    <row r="347" spans="1:4">
      <c r="A347" s="1">
        <v>345</v>
      </c>
      <c r="B347" s="2" t="s">
        <v>725</v>
      </c>
      <c r="C347" s="2">
        <v>1</v>
      </c>
      <c r="D347" t="s">
        <v>471</v>
      </c>
    </row>
    <row r="348" spans="1:4">
      <c r="A348" s="1">
        <v>346</v>
      </c>
      <c r="B348" s="2" t="s">
        <v>726</v>
      </c>
      <c r="C348" s="2">
        <v>1</v>
      </c>
      <c r="D348" t="s">
        <v>471</v>
      </c>
    </row>
    <row r="349" spans="1:4">
      <c r="A349" s="1">
        <v>347</v>
      </c>
      <c r="B349" s="2" t="s">
        <v>727</v>
      </c>
      <c r="C349" s="2">
        <v>1</v>
      </c>
      <c r="D349" t="s">
        <v>471</v>
      </c>
    </row>
    <row r="350" spans="1:4">
      <c r="A350" s="1">
        <v>348</v>
      </c>
      <c r="B350" s="2" t="s">
        <v>728</v>
      </c>
      <c r="C350" s="2">
        <v>1</v>
      </c>
      <c r="D350" t="s">
        <v>471</v>
      </c>
    </row>
    <row r="351" spans="1:4">
      <c r="A351" s="1">
        <v>349</v>
      </c>
      <c r="B351" s="2" t="s">
        <v>729</v>
      </c>
      <c r="C351" s="2">
        <v>1</v>
      </c>
      <c r="D351" t="s">
        <v>471</v>
      </c>
    </row>
    <row r="352" spans="1:4">
      <c r="A352" s="1">
        <v>350</v>
      </c>
      <c r="B352" s="2" t="s">
        <v>730</v>
      </c>
      <c r="C352" s="2">
        <v>1</v>
      </c>
      <c r="D352" t="s">
        <v>471</v>
      </c>
    </row>
    <row r="353" spans="1:4">
      <c r="A353" s="1">
        <v>351</v>
      </c>
      <c r="B353" s="2" t="s">
        <v>731</v>
      </c>
      <c r="C353" s="2">
        <v>1</v>
      </c>
      <c r="D353" t="s">
        <v>471</v>
      </c>
    </row>
    <row r="354" spans="1:4">
      <c r="A354" s="1">
        <v>352</v>
      </c>
      <c r="B354" s="2" t="s">
        <v>732</v>
      </c>
      <c r="C354" s="2">
        <v>1</v>
      </c>
      <c r="D354" t="s">
        <v>471</v>
      </c>
    </row>
    <row r="355" spans="1:4">
      <c r="A355" s="1">
        <v>353</v>
      </c>
      <c r="B355" s="2" t="s">
        <v>733</v>
      </c>
      <c r="C355" s="2">
        <v>1</v>
      </c>
      <c r="D355" t="s">
        <v>471</v>
      </c>
    </row>
    <row r="356" spans="1:4">
      <c r="A356" s="1">
        <v>354</v>
      </c>
      <c r="B356" s="2" t="s">
        <v>734</v>
      </c>
      <c r="C356" s="2">
        <v>1</v>
      </c>
      <c r="D356" t="s">
        <v>471</v>
      </c>
    </row>
    <row r="357" spans="1:4">
      <c r="A357" s="1">
        <v>355</v>
      </c>
      <c r="B357" s="2" t="s">
        <v>735</v>
      </c>
      <c r="C357" s="2">
        <v>1</v>
      </c>
      <c r="D357" t="s">
        <v>471</v>
      </c>
    </row>
    <row r="358" spans="1:4">
      <c r="A358" s="1">
        <v>356</v>
      </c>
      <c r="B358" s="2" t="s">
        <v>736</v>
      </c>
      <c r="C358" s="2">
        <v>1</v>
      </c>
      <c r="D358" t="s">
        <v>471</v>
      </c>
    </row>
    <row r="359" spans="1:4">
      <c r="A359" s="1">
        <v>357</v>
      </c>
      <c r="B359" s="2" t="s">
        <v>737</v>
      </c>
      <c r="C359" s="2">
        <v>1</v>
      </c>
      <c r="D359" t="s">
        <v>471</v>
      </c>
    </row>
    <row r="360" spans="1:4">
      <c r="A360" s="1">
        <v>358</v>
      </c>
      <c r="B360" s="2" t="s">
        <v>738</v>
      </c>
      <c r="C360" s="2">
        <v>1</v>
      </c>
      <c r="D360" t="s">
        <v>471</v>
      </c>
    </row>
    <row r="361" spans="1:4">
      <c r="A361" s="1">
        <v>359</v>
      </c>
      <c r="B361" s="2" t="s">
        <v>739</v>
      </c>
      <c r="C361" s="2">
        <v>1</v>
      </c>
      <c r="D361" t="s">
        <v>471</v>
      </c>
    </row>
    <row r="362" spans="1:4">
      <c r="A362" s="1">
        <v>360</v>
      </c>
      <c r="B362" s="2" t="s">
        <v>740</v>
      </c>
      <c r="C362" s="2">
        <v>1</v>
      </c>
      <c r="D362" t="s">
        <v>471</v>
      </c>
    </row>
    <row r="363" spans="1:4">
      <c r="A363" s="1">
        <v>361</v>
      </c>
      <c r="B363" s="2" t="s">
        <v>741</v>
      </c>
      <c r="C363" s="2">
        <v>1</v>
      </c>
      <c r="D363" t="s">
        <v>471</v>
      </c>
    </row>
    <row r="364" spans="1:4">
      <c r="A364" s="1">
        <v>362</v>
      </c>
      <c r="B364" s="2" t="s">
        <v>742</v>
      </c>
      <c r="C364" s="2">
        <v>1</v>
      </c>
      <c r="D364" t="s">
        <v>63</v>
      </c>
    </row>
    <row r="365" spans="1:4">
      <c r="A365" s="1">
        <v>363</v>
      </c>
      <c r="B365" s="2" t="s">
        <v>743</v>
      </c>
      <c r="C365" s="2">
        <v>1</v>
      </c>
      <c r="D365" t="s">
        <v>471</v>
      </c>
    </row>
    <row r="366" spans="1:4">
      <c r="A366" s="1">
        <v>364</v>
      </c>
      <c r="B366" s="2" t="s">
        <v>744</v>
      </c>
      <c r="C366" s="2">
        <v>1</v>
      </c>
      <c r="D366" t="s">
        <v>471</v>
      </c>
    </row>
    <row r="367" spans="1:4">
      <c r="A367" s="1">
        <v>365</v>
      </c>
      <c r="B367" s="2" t="s">
        <v>745</v>
      </c>
      <c r="C367" s="2">
        <v>1</v>
      </c>
      <c r="D367" t="s">
        <v>471</v>
      </c>
    </row>
    <row r="368" spans="1:4">
      <c r="A368" s="1">
        <v>366</v>
      </c>
      <c r="B368" s="2" t="s">
        <v>746</v>
      </c>
      <c r="C368" s="2">
        <v>1</v>
      </c>
      <c r="D368" t="s">
        <v>471</v>
      </c>
    </row>
    <row r="369" spans="1:4">
      <c r="A369" s="1">
        <v>367</v>
      </c>
      <c r="B369" s="2" t="s">
        <v>747</v>
      </c>
      <c r="C369" s="2">
        <v>1</v>
      </c>
      <c r="D369" t="s">
        <v>471</v>
      </c>
    </row>
    <row r="370" spans="1:4">
      <c r="A370" s="1">
        <v>368</v>
      </c>
      <c r="B370" s="2" t="s">
        <v>748</v>
      </c>
      <c r="C370" s="2">
        <v>1</v>
      </c>
      <c r="D370" t="s">
        <v>471</v>
      </c>
    </row>
    <row r="371" spans="1:4">
      <c r="A371" s="1">
        <v>369</v>
      </c>
      <c r="B371" s="2" t="s">
        <v>749</v>
      </c>
      <c r="C371" s="2">
        <v>1</v>
      </c>
      <c r="D371" t="s">
        <v>471</v>
      </c>
    </row>
    <row r="372" spans="1:4">
      <c r="A372" s="1">
        <v>370</v>
      </c>
      <c r="B372" s="2" t="s">
        <v>750</v>
      </c>
      <c r="C372" s="2">
        <v>1</v>
      </c>
      <c r="D372" t="s">
        <v>471</v>
      </c>
    </row>
    <row r="373" spans="1:4">
      <c r="A373" s="1">
        <v>371</v>
      </c>
      <c r="B373" s="2" t="s">
        <v>751</v>
      </c>
      <c r="C373" s="2">
        <v>1</v>
      </c>
      <c r="D373" t="s">
        <v>79</v>
      </c>
    </row>
    <row r="374" spans="1:4">
      <c r="A374" s="1">
        <v>372</v>
      </c>
      <c r="B374" s="2" t="s">
        <v>752</v>
      </c>
      <c r="C374" s="2">
        <v>1</v>
      </c>
      <c r="D374" t="s">
        <v>471</v>
      </c>
    </row>
    <row r="375" spans="1:4">
      <c r="A375" s="1">
        <v>373</v>
      </c>
      <c r="B375" s="2" t="s">
        <v>753</v>
      </c>
      <c r="C375" s="2">
        <v>1</v>
      </c>
      <c r="D375" t="s">
        <v>471</v>
      </c>
    </row>
    <row r="376" spans="1:4">
      <c r="A376" s="1">
        <v>374</v>
      </c>
      <c r="B376" s="2" t="s">
        <v>754</v>
      </c>
      <c r="C376" s="2">
        <v>1</v>
      </c>
      <c r="D376" t="s">
        <v>471</v>
      </c>
    </row>
    <row r="377" spans="1:4">
      <c r="A377" s="1">
        <v>375</v>
      </c>
      <c r="B377" s="2" t="s">
        <v>755</v>
      </c>
      <c r="C377" s="2">
        <v>1</v>
      </c>
      <c r="D377" t="s">
        <v>471</v>
      </c>
    </row>
    <row r="378" spans="1:4">
      <c r="A378" s="1">
        <v>376</v>
      </c>
      <c r="B378" s="2" t="s">
        <v>756</v>
      </c>
      <c r="C378" s="2">
        <v>1</v>
      </c>
      <c r="D378" t="s">
        <v>471</v>
      </c>
    </row>
    <row r="379" spans="1:4">
      <c r="A379" s="1">
        <v>377</v>
      </c>
      <c r="B379" s="2" t="s">
        <v>757</v>
      </c>
      <c r="C379" s="2">
        <v>1</v>
      </c>
      <c r="D379" t="s">
        <v>27</v>
      </c>
    </row>
    <row r="380" spans="1:4">
      <c r="A380" s="1">
        <v>378</v>
      </c>
      <c r="B380" s="2" t="s">
        <v>758</v>
      </c>
      <c r="C380" s="2">
        <v>1</v>
      </c>
      <c r="D380" t="s">
        <v>471</v>
      </c>
    </row>
    <row r="381" spans="1:4">
      <c r="A381" s="1">
        <v>379</v>
      </c>
      <c r="B381" s="2" t="s">
        <v>759</v>
      </c>
      <c r="C381" s="2">
        <v>1</v>
      </c>
      <c r="D381" t="s">
        <v>471</v>
      </c>
    </row>
    <row r="382" spans="1:4">
      <c r="A382" s="1">
        <v>380</v>
      </c>
      <c r="B382" s="2" t="s">
        <v>760</v>
      </c>
      <c r="C382" s="2">
        <v>1</v>
      </c>
      <c r="D382" t="s">
        <v>471</v>
      </c>
    </row>
    <row r="383" spans="1:4">
      <c r="A383" s="1">
        <v>381</v>
      </c>
      <c r="B383" s="2" t="s">
        <v>761</v>
      </c>
      <c r="C383" s="2">
        <v>1</v>
      </c>
      <c r="D383" t="s">
        <v>471</v>
      </c>
    </row>
    <row r="384" spans="1:4">
      <c r="A384" s="1">
        <v>382</v>
      </c>
      <c r="B384" s="2" t="s">
        <v>762</v>
      </c>
      <c r="C384" s="2">
        <v>1</v>
      </c>
      <c r="D384" t="s">
        <v>471</v>
      </c>
    </row>
    <row r="385" spans="1:4">
      <c r="A385" s="1">
        <v>383</v>
      </c>
      <c r="B385" s="2" t="s">
        <v>763</v>
      </c>
      <c r="C385" s="2">
        <v>1</v>
      </c>
      <c r="D385" t="s">
        <v>471</v>
      </c>
    </row>
    <row r="386" spans="1:4">
      <c r="A386" s="1">
        <v>384</v>
      </c>
      <c r="B386" s="2" t="s">
        <v>764</v>
      </c>
      <c r="C386" s="2">
        <v>1</v>
      </c>
      <c r="D386" t="s">
        <v>471</v>
      </c>
    </row>
    <row r="387" spans="1:4">
      <c r="A387" s="1">
        <v>385</v>
      </c>
      <c r="B387" s="2" t="s">
        <v>765</v>
      </c>
      <c r="C387" s="2">
        <v>1</v>
      </c>
      <c r="D387" t="s">
        <v>471</v>
      </c>
    </row>
    <row r="388" spans="1:4">
      <c r="A388" s="1">
        <v>386</v>
      </c>
      <c r="B388" s="2" t="s">
        <v>766</v>
      </c>
      <c r="C388" s="2">
        <v>1</v>
      </c>
      <c r="D388" t="s">
        <v>471</v>
      </c>
    </row>
    <row r="389" spans="1:4">
      <c r="A389" s="1">
        <v>387</v>
      </c>
      <c r="B389" s="2" t="s">
        <v>767</v>
      </c>
      <c r="C389" s="2">
        <v>1</v>
      </c>
      <c r="D389" t="s">
        <v>471</v>
      </c>
    </row>
    <row r="390" spans="1:4">
      <c r="A390" s="1">
        <v>388</v>
      </c>
      <c r="B390" s="2" t="s">
        <v>768</v>
      </c>
      <c r="C390" s="2">
        <v>1</v>
      </c>
      <c r="D390" t="s">
        <v>471</v>
      </c>
    </row>
    <row r="391" spans="1:4">
      <c r="A391" s="1">
        <v>389</v>
      </c>
      <c r="B391" s="2" t="s">
        <v>769</v>
      </c>
      <c r="C391" s="2">
        <v>1</v>
      </c>
      <c r="D391" t="s">
        <v>471</v>
      </c>
    </row>
    <row r="392" spans="1:4">
      <c r="A392" s="1">
        <v>390</v>
      </c>
      <c r="B392" s="2" t="s">
        <v>770</v>
      </c>
      <c r="C392" s="2">
        <v>1</v>
      </c>
      <c r="D392" t="s">
        <v>471</v>
      </c>
    </row>
    <row r="393" spans="1:4">
      <c r="A393" s="1">
        <v>391</v>
      </c>
      <c r="B393" s="2" t="s">
        <v>771</v>
      </c>
      <c r="C393" s="2">
        <v>1</v>
      </c>
      <c r="D393" t="s">
        <v>471</v>
      </c>
    </row>
    <row r="394" spans="1:4">
      <c r="A394" s="1">
        <v>392</v>
      </c>
      <c r="B394" s="2" t="s">
        <v>772</v>
      </c>
      <c r="C394" s="2">
        <v>1</v>
      </c>
      <c r="D394" t="s">
        <v>471</v>
      </c>
    </row>
    <row r="395" spans="1:4">
      <c r="A395" s="1">
        <v>393</v>
      </c>
      <c r="B395" s="2" t="s">
        <v>773</v>
      </c>
      <c r="C395" s="2">
        <v>1</v>
      </c>
      <c r="D395" t="s">
        <v>471</v>
      </c>
    </row>
    <row r="396" spans="1:4">
      <c r="A396" s="1">
        <v>394</v>
      </c>
      <c r="B396" s="2" t="s">
        <v>774</v>
      </c>
      <c r="C396" s="2">
        <v>1</v>
      </c>
      <c r="D396" t="s">
        <v>471</v>
      </c>
    </row>
    <row r="397" spans="1:4">
      <c r="A397" s="1">
        <v>395</v>
      </c>
      <c r="B397" s="2" t="s">
        <v>775</v>
      </c>
      <c r="C397" s="2">
        <v>1</v>
      </c>
      <c r="D397" t="s">
        <v>471</v>
      </c>
    </row>
    <row r="398" spans="1:4">
      <c r="A398" s="1">
        <v>396</v>
      </c>
      <c r="B398" s="2" t="s">
        <v>776</v>
      </c>
      <c r="C398" s="2">
        <v>1</v>
      </c>
      <c r="D398" t="s">
        <v>471</v>
      </c>
    </row>
    <row r="399" spans="1:4">
      <c r="A399" s="1">
        <v>397</v>
      </c>
      <c r="B399" s="2" t="s">
        <v>777</v>
      </c>
      <c r="C399" s="2">
        <v>1</v>
      </c>
      <c r="D399" t="s">
        <v>471</v>
      </c>
    </row>
    <row r="400" spans="1:4">
      <c r="A400" s="1">
        <v>398</v>
      </c>
      <c r="B400" s="2" t="s">
        <v>778</v>
      </c>
      <c r="C400" s="2">
        <v>1</v>
      </c>
      <c r="D400" t="s">
        <v>471</v>
      </c>
    </row>
    <row r="401" spans="1:4">
      <c r="A401" s="1">
        <v>399</v>
      </c>
      <c r="B401" s="2" t="s">
        <v>779</v>
      </c>
      <c r="C401" s="2">
        <v>1</v>
      </c>
      <c r="D401" t="s">
        <v>471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788EB-8012-764B-A9EF-579B33F831D7}">
  <dimension ref="A1:D387"/>
  <sheetViews>
    <sheetView topLeftCell="A16" zoomScale="132" workbookViewId="0">
      <selection activeCell="C12" sqref="C12"/>
    </sheetView>
  </sheetViews>
  <sheetFormatPr baseColWidth="10" defaultColWidth="11" defaultRowHeight="16"/>
  <cols>
    <col min="1" max="1" width="46" customWidth="1"/>
    <col min="3" max="3" width="30.33203125" customWidth="1"/>
  </cols>
  <sheetData>
    <row r="1" spans="1:4">
      <c r="A1" s="1" t="s">
        <v>387</v>
      </c>
      <c r="B1" s="1" t="s">
        <v>780</v>
      </c>
      <c r="C1" s="5" t="s">
        <v>389</v>
      </c>
      <c r="D1" s="5"/>
    </row>
    <row r="2" spans="1:4">
      <c r="A2" s="2" t="s">
        <v>70</v>
      </c>
      <c r="B2" s="2">
        <v>28270</v>
      </c>
      <c r="C2" t="s">
        <v>70</v>
      </c>
    </row>
    <row r="3" spans="1:4">
      <c r="A3" s="2" t="s">
        <v>61</v>
      </c>
      <c r="B3" s="2">
        <v>8331</v>
      </c>
      <c r="C3" t="s">
        <v>61</v>
      </c>
    </row>
    <row r="4" spans="1:4">
      <c r="A4" s="2" t="s">
        <v>69</v>
      </c>
      <c r="B4" s="2">
        <v>7712</v>
      </c>
      <c r="C4" t="s">
        <v>392</v>
      </c>
    </row>
    <row r="5" spans="1:4">
      <c r="A5" s="2" t="s">
        <v>393</v>
      </c>
      <c r="B5" s="2">
        <v>6735</v>
      </c>
      <c r="C5" t="s">
        <v>573</v>
      </c>
    </row>
    <row r="6" spans="1:4">
      <c r="A6" s="2" t="s">
        <v>394</v>
      </c>
      <c r="B6" s="2">
        <v>4676</v>
      </c>
      <c r="C6" t="s">
        <v>573</v>
      </c>
    </row>
    <row r="7" spans="1:4">
      <c r="A7" s="2" t="s">
        <v>395</v>
      </c>
      <c r="B7" s="2">
        <v>3018</v>
      </c>
      <c r="C7" t="s">
        <v>164</v>
      </c>
    </row>
    <row r="8" spans="1:4">
      <c r="A8" s="2" t="s">
        <v>149</v>
      </c>
      <c r="B8" s="2">
        <v>1205</v>
      </c>
      <c r="C8" t="s">
        <v>573</v>
      </c>
    </row>
    <row r="9" spans="1:4">
      <c r="A9" s="2" t="s">
        <v>13</v>
      </c>
      <c r="B9" s="2">
        <v>1201</v>
      </c>
      <c r="C9" t="s">
        <v>13</v>
      </c>
    </row>
    <row r="10" spans="1:4">
      <c r="A10" s="2" t="s">
        <v>396</v>
      </c>
      <c r="B10" s="2">
        <v>1176</v>
      </c>
      <c r="C10" t="s">
        <v>79</v>
      </c>
    </row>
    <row r="11" spans="1:4">
      <c r="A11" s="2" t="s">
        <v>397</v>
      </c>
      <c r="B11" s="2">
        <v>1097</v>
      </c>
      <c r="C11" t="s">
        <v>64</v>
      </c>
    </row>
    <row r="12" spans="1:4">
      <c r="A12" s="2" t="s">
        <v>398</v>
      </c>
      <c r="B12" s="2">
        <v>831</v>
      </c>
      <c r="C12" t="s">
        <v>79</v>
      </c>
    </row>
    <row r="13" spans="1:4">
      <c r="A13" s="2" t="s">
        <v>399</v>
      </c>
      <c r="B13" s="2">
        <v>679</v>
      </c>
      <c r="C13" t="s">
        <v>39</v>
      </c>
    </row>
    <row r="14" spans="1:4">
      <c r="A14" s="2" t="s">
        <v>79</v>
      </c>
      <c r="B14" s="2">
        <v>573</v>
      </c>
      <c r="C14" t="s">
        <v>79</v>
      </c>
    </row>
    <row r="15" spans="1:4">
      <c r="A15" s="2" t="s">
        <v>57</v>
      </c>
      <c r="B15" s="2">
        <v>563</v>
      </c>
      <c r="C15" t="s">
        <v>57</v>
      </c>
    </row>
    <row r="16" spans="1:4">
      <c r="A16" s="2" t="s">
        <v>400</v>
      </c>
      <c r="B16" s="2">
        <v>558</v>
      </c>
      <c r="C16" t="s">
        <v>70</v>
      </c>
    </row>
    <row r="17" spans="1:3">
      <c r="A17" s="2" t="s">
        <v>401</v>
      </c>
      <c r="B17" s="2">
        <v>550</v>
      </c>
      <c r="C17" t="s">
        <v>164</v>
      </c>
    </row>
    <row r="18" spans="1:3">
      <c r="A18" s="2" t="s">
        <v>402</v>
      </c>
      <c r="B18" s="2">
        <v>509</v>
      </c>
      <c r="C18" t="s">
        <v>573</v>
      </c>
    </row>
    <row r="19" spans="1:3">
      <c r="A19" s="2" t="s">
        <v>403</v>
      </c>
      <c r="B19" s="2">
        <v>505</v>
      </c>
      <c r="C19" t="s">
        <v>42</v>
      </c>
    </row>
    <row r="20" spans="1:3">
      <c r="A20" s="2" t="s">
        <v>406</v>
      </c>
      <c r="B20" s="2">
        <v>426</v>
      </c>
      <c r="C20" t="s">
        <v>54</v>
      </c>
    </row>
    <row r="21" spans="1:3">
      <c r="A21" s="2" t="s">
        <v>404</v>
      </c>
      <c r="B21" s="2">
        <v>425</v>
      </c>
      <c r="C21" t="s">
        <v>573</v>
      </c>
    </row>
    <row r="22" spans="1:3">
      <c r="A22" s="2" t="s">
        <v>405</v>
      </c>
      <c r="B22" s="2">
        <v>387</v>
      </c>
      <c r="C22" s="4" t="s">
        <v>34</v>
      </c>
    </row>
    <row r="23" spans="1:3">
      <c r="A23" s="2" t="s">
        <v>407</v>
      </c>
      <c r="B23" s="2">
        <v>343</v>
      </c>
      <c r="C23" t="s">
        <v>573</v>
      </c>
    </row>
    <row r="24" spans="1:3">
      <c r="A24" s="2" t="s">
        <v>408</v>
      </c>
      <c r="B24" s="2">
        <v>327</v>
      </c>
      <c r="C24" t="s">
        <v>13</v>
      </c>
    </row>
    <row r="25" spans="1:3">
      <c r="A25" s="2" t="s">
        <v>410</v>
      </c>
      <c r="B25" s="2">
        <v>223</v>
      </c>
      <c r="C25" t="s">
        <v>63</v>
      </c>
    </row>
    <row r="26" spans="1:3">
      <c r="A26" s="2" t="s">
        <v>409</v>
      </c>
      <c r="B26" s="2">
        <v>218</v>
      </c>
      <c r="C26" t="s">
        <v>70</v>
      </c>
    </row>
    <row r="27" spans="1:3">
      <c r="A27" s="2" t="s">
        <v>411</v>
      </c>
      <c r="B27" s="2">
        <v>211</v>
      </c>
      <c r="C27" t="s">
        <v>412</v>
      </c>
    </row>
    <row r="28" spans="1:3">
      <c r="A28" s="2" t="s">
        <v>413</v>
      </c>
      <c r="B28" s="2">
        <v>209</v>
      </c>
      <c r="C28" t="s">
        <v>63</v>
      </c>
    </row>
    <row r="29" spans="1:3">
      <c r="A29" s="2" t="s">
        <v>17</v>
      </c>
      <c r="B29" s="2">
        <v>194</v>
      </c>
      <c r="C29" s="4" t="s">
        <v>17</v>
      </c>
    </row>
    <row r="30" spans="1:3">
      <c r="A30" s="2" t="s">
        <v>30</v>
      </c>
      <c r="B30" s="2">
        <v>188</v>
      </c>
      <c r="C30" t="s">
        <v>30</v>
      </c>
    </row>
    <row r="31" spans="1:3">
      <c r="A31" s="2" t="s">
        <v>80</v>
      </c>
      <c r="B31" s="2">
        <v>181</v>
      </c>
      <c r="C31" t="s">
        <v>164</v>
      </c>
    </row>
    <row r="32" spans="1:3">
      <c r="A32" s="2" t="s">
        <v>54</v>
      </c>
      <c r="B32" s="2">
        <v>175</v>
      </c>
      <c r="C32" t="s">
        <v>54</v>
      </c>
    </row>
    <row r="33" spans="1:3">
      <c r="A33" s="2" t="s">
        <v>416</v>
      </c>
      <c r="B33" s="2">
        <v>173</v>
      </c>
      <c r="C33" t="s">
        <v>54</v>
      </c>
    </row>
    <row r="34" spans="1:3">
      <c r="A34" s="2" t="s">
        <v>415</v>
      </c>
      <c r="B34" s="2">
        <v>166</v>
      </c>
      <c r="C34" t="s">
        <v>39</v>
      </c>
    </row>
    <row r="35" spans="1:3">
      <c r="A35" s="2" t="s">
        <v>27</v>
      </c>
      <c r="B35" s="2">
        <v>156</v>
      </c>
      <c r="C35" s="3" t="s">
        <v>27</v>
      </c>
    </row>
    <row r="36" spans="1:3">
      <c r="A36" s="2" t="s">
        <v>417</v>
      </c>
      <c r="B36" s="2">
        <v>144</v>
      </c>
      <c r="C36" t="s">
        <v>61</v>
      </c>
    </row>
    <row r="37" spans="1:3">
      <c r="A37" s="2" t="s">
        <v>418</v>
      </c>
      <c r="B37" s="2">
        <v>142</v>
      </c>
      <c r="C37" t="s">
        <v>13</v>
      </c>
    </row>
    <row r="38" spans="1:3">
      <c r="A38" s="2" t="s">
        <v>419</v>
      </c>
      <c r="B38" s="2">
        <v>140</v>
      </c>
      <c r="C38" t="s">
        <v>61</v>
      </c>
    </row>
    <row r="39" spans="1:3">
      <c r="A39" s="2" t="s">
        <v>420</v>
      </c>
      <c r="B39" s="2">
        <v>119</v>
      </c>
      <c r="C39" t="s">
        <v>573</v>
      </c>
    </row>
    <row r="40" spans="1:3">
      <c r="A40" s="2" t="s">
        <v>462</v>
      </c>
      <c r="B40" s="2">
        <v>94</v>
      </c>
      <c r="C40" t="s">
        <v>83</v>
      </c>
    </row>
    <row r="41" spans="1:3">
      <c r="A41" s="2" t="s">
        <v>781</v>
      </c>
      <c r="B41" s="2">
        <v>94</v>
      </c>
      <c r="C41" t="s">
        <v>424</v>
      </c>
    </row>
    <row r="42" spans="1:3">
      <c r="A42" s="2" t="s">
        <v>425</v>
      </c>
      <c r="B42" s="2">
        <v>89</v>
      </c>
      <c r="C42" t="s">
        <v>573</v>
      </c>
    </row>
    <row r="43" spans="1:3">
      <c r="A43" s="2" t="s">
        <v>426</v>
      </c>
      <c r="B43" s="2">
        <v>85</v>
      </c>
      <c r="C43" t="s">
        <v>13</v>
      </c>
    </row>
    <row r="44" spans="1:3">
      <c r="A44" s="2" t="s">
        <v>428</v>
      </c>
      <c r="B44" s="2">
        <v>84</v>
      </c>
      <c r="C44" t="s">
        <v>573</v>
      </c>
    </row>
    <row r="45" spans="1:3">
      <c r="A45" s="2" t="s">
        <v>429</v>
      </c>
      <c r="B45" s="2">
        <v>82</v>
      </c>
      <c r="C45" t="s">
        <v>17</v>
      </c>
    </row>
    <row r="46" spans="1:3">
      <c r="A46" s="2" t="s">
        <v>195</v>
      </c>
      <c r="B46" s="2">
        <v>82</v>
      </c>
      <c r="C46" t="s">
        <v>195</v>
      </c>
    </row>
    <row r="47" spans="1:3">
      <c r="A47" s="2" t="s">
        <v>430</v>
      </c>
      <c r="B47" s="2">
        <v>79</v>
      </c>
      <c r="C47" t="s">
        <v>27</v>
      </c>
    </row>
    <row r="48" spans="1:3">
      <c r="A48" s="2" t="s">
        <v>186</v>
      </c>
      <c r="B48" s="2">
        <v>75</v>
      </c>
      <c r="C48" t="s">
        <v>573</v>
      </c>
    </row>
    <row r="49" spans="1:3">
      <c r="A49" s="2" t="s">
        <v>531</v>
      </c>
      <c r="B49" s="2">
        <v>74</v>
      </c>
      <c r="C49" t="s">
        <v>83</v>
      </c>
    </row>
    <row r="50" spans="1:3">
      <c r="A50" s="2" t="s">
        <v>427</v>
      </c>
      <c r="B50" s="2">
        <v>65</v>
      </c>
      <c r="C50" t="s">
        <v>573</v>
      </c>
    </row>
    <row r="51" spans="1:3">
      <c r="A51" s="2" t="s">
        <v>431</v>
      </c>
      <c r="B51" s="2">
        <v>63</v>
      </c>
      <c r="C51" t="s">
        <v>432</v>
      </c>
    </row>
    <row r="52" spans="1:3">
      <c r="A52" s="2" t="s">
        <v>435</v>
      </c>
      <c r="B52" s="2">
        <v>58</v>
      </c>
      <c r="C52" t="s">
        <v>164</v>
      </c>
    </row>
    <row r="53" spans="1:3">
      <c r="A53" s="2" t="s">
        <v>433</v>
      </c>
      <c r="B53" s="2">
        <v>53</v>
      </c>
      <c r="C53" t="s">
        <v>61</v>
      </c>
    </row>
    <row r="54" spans="1:3">
      <c r="A54" s="2" t="s">
        <v>436</v>
      </c>
      <c r="B54" s="2">
        <v>50</v>
      </c>
      <c r="C54" t="s">
        <v>573</v>
      </c>
    </row>
    <row r="55" spans="1:3">
      <c r="A55" s="2" t="s">
        <v>434</v>
      </c>
      <c r="B55" s="2">
        <v>50</v>
      </c>
      <c r="C55" t="s">
        <v>573</v>
      </c>
    </row>
    <row r="56" spans="1:3">
      <c r="A56" s="2" t="s">
        <v>437</v>
      </c>
      <c r="B56" s="2">
        <v>46</v>
      </c>
      <c r="C56" t="s">
        <v>13</v>
      </c>
    </row>
    <row r="57" spans="1:3">
      <c r="A57" s="2" t="s">
        <v>441</v>
      </c>
      <c r="B57" s="2">
        <v>45</v>
      </c>
      <c r="C57" t="s">
        <v>573</v>
      </c>
    </row>
    <row r="58" spans="1:3">
      <c r="A58" s="2" t="s">
        <v>438</v>
      </c>
      <c r="B58" s="2">
        <v>43</v>
      </c>
      <c r="C58" t="s">
        <v>573</v>
      </c>
    </row>
    <row r="59" spans="1:3">
      <c r="A59" s="2" t="s">
        <v>440</v>
      </c>
      <c r="B59" s="2">
        <v>42</v>
      </c>
      <c r="C59" t="s">
        <v>573</v>
      </c>
    </row>
    <row r="60" spans="1:3">
      <c r="A60" s="2" t="s">
        <v>368</v>
      </c>
      <c r="B60" s="2">
        <v>42</v>
      </c>
      <c r="C60" t="s">
        <v>70</v>
      </c>
    </row>
    <row r="61" spans="1:3">
      <c r="A61" s="2" t="s">
        <v>439</v>
      </c>
      <c r="B61" s="2">
        <v>41</v>
      </c>
      <c r="C61" t="s">
        <v>573</v>
      </c>
    </row>
    <row r="62" spans="1:3">
      <c r="A62" s="2" t="s">
        <v>442</v>
      </c>
      <c r="B62" s="2">
        <v>40</v>
      </c>
      <c r="C62" t="s">
        <v>13</v>
      </c>
    </row>
    <row r="63" spans="1:3">
      <c r="A63" s="2" t="s">
        <v>444</v>
      </c>
      <c r="B63" s="2">
        <v>39</v>
      </c>
      <c r="C63" t="s">
        <v>61</v>
      </c>
    </row>
    <row r="64" spans="1:3">
      <c r="A64" s="2" t="s">
        <v>443</v>
      </c>
      <c r="B64" s="2">
        <v>39</v>
      </c>
      <c r="C64" t="s">
        <v>573</v>
      </c>
    </row>
    <row r="65" spans="1:3">
      <c r="A65" s="2" t="s">
        <v>447</v>
      </c>
      <c r="B65" s="2">
        <v>36</v>
      </c>
      <c r="C65" t="s">
        <v>61</v>
      </c>
    </row>
    <row r="66" spans="1:3">
      <c r="A66" s="2" t="s">
        <v>446</v>
      </c>
      <c r="B66" s="2">
        <v>36</v>
      </c>
      <c r="C66" t="s">
        <v>573</v>
      </c>
    </row>
    <row r="67" spans="1:3">
      <c r="A67" s="2" t="s">
        <v>503</v>
      </c>
      <c r="B67" s="2">
        <v>35</v>
      </c>
      <c r="C67" t="s">
        <v>83</v>
      </c>
    </row>
    <row r="68" spans="1:3">
      <c r="A68" s="2" t="s">
        <v>453</v>
      </c>
      <c r="B68" s="2">
        <v>35</v>
      </c>
      <c r="C68" t="s">
        <v>54</v>
      </c>
    </row>
    <row r="69" spans="1:3">
      <c r="A69" s="2" t="s">
        <v>448</v>
      </c>
      <c r="B69" s="2">
        <v>34</v>
      </c>
      <c r="C69" t="s">
        <v>13</v>
      </c>
    </row>
    <row r="70" spans="1:3">
      <c r="A70" s="2" t="s">
        <v>782</v>
      </c>
      <c r="B70" s="2">
        <v>31</v>
      </c>
      <c r="C70" t="s">
        <v>392</v>
      </c>
    </row>
    <row r="71" spans="1:3">
      <c r="A71" s="2" t="s">
        <v>783</v>
      </c>
      <c r="B71" s="2">
        <v>28</v>
      </c>
      <c r="C71" t="s">
        <v>63</v>
      </c>
    </row>
    <row r="72" spans="1:3">
      <c r="A72" s="2" t="s">
        <v>455</v>
      </c>
      <c r="B72" s="2">
        <v>25</v>
      </c>
      <c r="C72" t="s">
        <v>573</v>
      </c>
    </row>
    <row r="73" spans="1:3">
      <c r="A73" s="2" t="s">
        <v>452</v>
      </c>
      <c r="B73" s="2">
        <v>25</v>
      </c>
      <c r="C73" t="s">
        <v>79</v>
      </c>
    </row>
    <row r="74" spans="1:3">
      <c r="A74" s="2" t="s">
        <v>459</v>
      </c>
      <c r="B74" s="2">
        <v>24</v>
      </c>
      <c r="C74" t="s">
        <v>573</v>
      </c>
    </row>
    <row r="75" spans="1:3">
      <c r="A75" s="2" t="s">
        <v>457</v>
      </c>
      <c r="B75" s="2">
        <v>24</v>
      </c>
      <c r="C75" t="s">
        <v>573</v>
      </c>
    </row>
    <row r="76" spans="1:3">
      <c r="A76" s="2" t="s">
        <v>458</v>
      </c>
      <c r="B76" s="2">
        <v>24</v>
      </c>
      <c r="C76" t="s">
        <v>573</v>
      </c>
    </row>
    <row r="77" spans="1:3">
      <c r="A77" s="2" t="s">
        <v>463</v>
      </c>
      <c r="B77" s="2">
        <v>23</v>
      </c>
      <c r="C77" t="s">
        <v>13</v>
      </c>
    </row>
    <row r="78" spans="1:3">
      <c r="A78" s="2" t="s">
        <v>461</v>
      </c>
      <c r="B78" s="2">
        <v>23</v>
      </c>
      <c r="C78" t="s">
        <v>30</v>
      </c>
    </row>
    <row r="79" spans="1:3">
      <c r="A79" s="2" t="s">
        <v>465</v>
      </c>
      <c r="B79" s="2">
        <v>22</v>
      </c>
      <c r="C79" s="3" t="s">
        <v>30</v>
      </c>
    </row>
    <row r="80" spans="1:3">
      <c r="A80" s="2" t="s">
        <v>467</v>
      </c>
      <c r="B80" s="2">
        <v>22</v>
      </c>
      <c r="C80" s="4" t="s">
        <v>17</v>
      </c>
    </row>
    <row r="81" spans="1:3">
      <c r="A81" s="2" t="s">
        <v>466</v>
      </c>
      <c r="B81" s="2">
        <v>22</v>
      </c>
      <c r="C81" t="s">
        <v>573</v>
      </c>
    </row>
    <row r="82" spans="1:3">
      <c r="A82" s="2" t="s">
        <v>469</v>
      </c>
      <c r="B82" s="2">
        <v>21</v>
      </c>
      <c r="C82" t="s">
        <v>573</v>
      </c>
    </row>
    <row r="83" spans="1:3">
      <c r="A83" s="2" t="s">
        <v>468</v>
      </c>
      <c r="B83" s="2">
        <v>20</v>
      </c>
      <c r="C83" t="s">
        <v>61</v>
      </c>
    </row>
    <row r="84" spans="1:3">
      <c r="A84" t="s">
        <v>470</v>
      </c>
      <c r="B84">
        <v>19</v>
      </c>
    </row>
    <row r="85" spans="1:3">
      <c r="A85" t="s">
        <v>143</v>
      </c>
      <c r="B85">
        <v>18</v>
      </c>
    </row>
    <row r="86" spans="1:3">
      <c r="A86" t="s">
        <v>473</v>
      </c>
      <c r="B86">
        <v>17</v>
      </c>
    </row>
    <row r="87" spans="1:3">
      <c r="A87" t="s">
        <v>474</v>
      </c>
      <c r="B87">
        <v>17</v>
      </c>
      <c r="C87" t="s">
        <v>79</v>
      </c>
    </row>
    <row r="88" spans="1:3">
      <c r="A88" t="s">
        <v>475</v>
      </c>
      <c r="B88">
        <v>16</v>
      </c>
    </row>
    <row r="89" spans="1:3">
      <c r="A89" t="s">
        <v>476</v>
      </c>
      <c r="B89">
        <v>16</v>
      </c>
      <c r="C89" t="s">
        <v>573</v>
      </c>
    </row>
    <row r="90" spans="1:3">
      <c r="A90" t="s">
        <v>472</v>
      </c>
      <c r="B90">
        <v>16</v>
      </c>
      <c r="C90" t="s">
        <v>573</v>
      </c>
    </row>
    <row r="91" spans="1:3">
      <c r="A91" t="s">
        <v>456</v>
      </c>
      <c r="B91">
        <v>15</v>
      </c>
      <c r="C91" t="s">
        <v>573</v>
      </c>
    </row>
    <row r="92" spans="1:3">
      <c r="A92" t="s">
        <v>478</v>
      </c>
      <c r="B92">
        <v>15</v>
      </c>
      <c r="C92" t="s">
        <v>573</v>
      </c>
    </row>
    <row r="93" spans="1:3">
      <c r="A93" t="s">
        <v>479</v>
      </c>
      <c r="B93">
        <v>15</v>
      </c>
    </row>
    <row r="94" spans="1:3">
      <c r="A94" t="s">
        <v>477</v>
      </c>
      <c r="B94">
        <v>15</v>
      </c>
      <c r="C94" t="s">
        <v>573</v>
      </c>
    </row>
    <row r="95" spans="1:3">
      <c r="A95" t="s">
        <v>451</v>
      </c>
      <c r="B95">
        <v>15</v>
      </c>
      <c r="C95" t="s">
        <v>573</v>
      </c>
    </row>
    <row r="96" spans="1:3">
      <c r="A96" t="s">
        <v>483</v>
      </c>
      <c r="B96">
        <v>14</v>
      </c>
      <c r="C96" t="s">
        <v>573</v>
      </c>
    </row>
    <row r="97" spans="1:3">
      <c r="A97" t="s">
        <v>482</v>
      </c>
      <c r="B97">
        <v>14</v>
      </c>
    </row>
    <row r="98" spans="1:3">
      <c r="A98" t="s">
        <v>484</v>
      </c>
      <c r="B98">
        <v>14</v>
      </c>
    </row>
    <row r="99" spans="1:3">
      <c r="A99" t="s">
        <v>481</v>
      </c>
      <c r="B99">
        <v>14</v>
      </c>
      <c r="C99" t="s">
        <v>573</v>
      </c>
    </row>
    <row r="100" spans="1:3">
      <c r="A100" t="s">
        <v>486</v>
      </c>
      <c r="B100">
        <v>13</v>
      </c>
    </row>
    <row r="101" spans="1:3">
      <c r="A101" t="s">
        <v>480</v>
      </c>
      <c r="B101">
        <v>13</v>
      </c>
    </row>
    <row r="102" spans="1:3">
      <c r="A102" t="s">
        <v>487</v>
      </c>
      <c r="B102">
        <v>12</v>
      </c>
    </row>
    <row r="103" spans="1:3">
      <c r="A103" t="s">
        <v>489</v>
      </c>
      <c r="B103">
        <v>12</v>
      </c>
      <c r="C103" t="s">
        <v>70</v>
      </c>
    </row>
    <row r="104" spans="1:3">
      <c r="A104" t="s">
        <v>784</v>
      </c>
      <c r="B104">
        <v>12</v>
      </c>
      <c r="C104" t="s">
        <v>54</v>
      </c>
    </row>
    <row r="105" spans="1:3">
      <c r="A105" t="s">
        <v>488</v>
      </c>
      <c r="B105">
        <v>12</v>
      </c>
      <c r="C105" t="s">
        <v>51</v>
      </c>
    </row>
    <row r="106" spans="1:3">
      <c r="A106" t="s">
        <v>485</v>
      </c>
      <c r="B106">
        <v>12</v>
      </c>
      <c r="C106" t="s">
        <v>573</v>
      </c>
    </row>
    <row r="107" spans="1:3">
      <c r="A107" t="s">
        <v>492</v>
      </c>
      <c r="B107">
        <v>11</v>
      </c>
    </row>
    <row r="108" spans="1:3">
      <c r="A108" t="s">
        <v>493</v>
      </c>
      <c r="B108">
        <v>11</v>
      </c>
      <c r="C108" t="s">
        <v>51</v>
      </c>
    </row>
    <row r="109" spans="1:3">
      <c r="A109" t="s">
        <v>496</v>
      </c>
      <c r="B109">
        <v>11</v>
      </c>
    </row>
    <row r="110" spans="1:3">
      <c r="A110" t="s">
        <v>490</v>
      </c>
      <c r="B110">
        <v>11</v>
      </c>
    </row>
    <row r="111" spans="1:3">
      <c r="A111" t="s">
        <v>491</v>
      </c>
      <c r="B111">
        <v>11</v>
      </c>
      <c r="C111" t="s">
        <v>573</v>
      </c>
    </row>
    <row r="112" spans="1:3">
      <c r="A112" t="s">
        <v>505</v>
      </c>
      <c r="B112">
        <v>10</v>
      </c>
      <c r="C112" t="s">
        <v>573</v>
      </c>
    </row>
    <row r="113" spans="1:3">
      <c r="A113" t="s">
        <v>501</v>
      </c>
      <c r="B113">
        <v>10</v>
      </c>
      <c r="C113" t="s">
        <v>502</v>
      </c>
    </row>
    <row r="114" spans="1:3">
      <c r="A114" t="s">
        <v>494</v>
      </c>
      <c r="B114">
        <v>10</v>
      </c>
    </row>
    <row r="115" spans="1:3">
      <c r="A115" t="s">
        <v>499</v>
      </c>
      <c r="B115">
        <v>10</v>
      </c>
    </row>
    <row r="116" spans="1:3">
      <c r="A116" s="2" t="s">
        <v>497</v>
      </c>
      <c r="B116">
        <v>10</v>
      </c>
      <c r="C116" t="s">
        <v>498</v>
      </c>
    </row>
    <row r="117" spans="1:3">
      <c r="A117" t="s">
        <v>504</v>
      </c>
      <c r="B117">
        <v>10</v>
      </c>
    </row>
    <row r="118" spans="1:3">
      <c r="A118" t="s">
        <v>500</v>
      </c>
      <c r="B118">
        <v>9</v>
      </c>
    </row>
    <row r="119" spans="1:3">
      <c r="A119" t="s">
        <v>508</v>
      </c>
      <c r="B119">
        <v>9</v>
      </c>
    </row>
    <row r="120" spans="1:3">
      <c r="A120" t="s">
        <v>510</v>
      </c>
      <c r="B120">
        <v>9</v>
      </c>
      <c r="C120" t="s">
        <v>13</v>
      </c>
    </row>
    <row r="121" spans="1:3">
      <c r="A121" t="s">
        <v>514</v>
      </c>
      <c r="B121">
        <v>8</v>
      </c>
      <c r="C121" t="s">
        <v>63</v>
      </c>
    </row>
    <row r="122" spans="1:3">
      <c r="A122" t="s">
        <v>785</v>
      </c>
      <c r="B122">
        <v>8</v>
      </c>
    </row>
    <row r="123" spans="1:3">
      <c r="A123" t="s">
        <v>513</v>
      </c>
      <c r="B123">
        <v>8</v>
      </c>
    </row>
    <row r="124" spans="1:3">
      <c r="A124" t="s">
        <v>515</v>
      </c>
      <c r="B124">
        <v>8</v>
      </c>
    </row>
    <row r="125" spans="1:3">
      <c r="A125" t="s">
        <v>507</v>
      </c>
      <c r="B125">
        <v>8</v>
      </c>
    </row>
    <row r="126" spans="1:3">
      <c r="A126" t="s">
        <v>506</v>
      </c>
      <c r="B126">
        <v>8</v>
      </c>
    </row>
    <row r="127" spans="1:3">
      <c r="A127" t="s">
        <v>495</v>
      </c>
      <c r="B127">
        <v>8</v>
      </c>
    </row>
    <row r="128" spans="1:3">
      <c r="A128" t="s">
        <v>512</v>
      </c>
      <c r="B128">
        <v>8</v>
      </c>
    </row>
    <row r="129" spans="1:3">
      <c r="A129" t="s">
        <v>521</v>
      </c>
      <c r="B129">
        <v>7</v>
      </c>
    </row>
    <row r="130" spans="1:3">
      <c r="A130" t="s">
        <v>519</v>
      </c>
      <c r="B130">
        <v>7</v>
      </c>
    </row>
    <row r="131" spans="1:3">
      <c r="A131" t="s">
        <v>520</v>
      </c>
      <c r="B131">
        <v>7</v>
      </c>
    </row>
    <row r="132" spans="1:3">
      <c r="A132" t="s">
        <v>523</v>
      </c>
      <c r="B132">
        <v>7</v>
      </c>
      <c r="C132" t="s">
        <v>432</v>
      </c>
    </row>
    <row r="133" spans="1:3">
      <c r="A133" t="s">
        <v>786</v>
      </c>
      <c r="B133">
        <v>7</v>
      </c>
    </row>
    <row r="134" spans="1:3">
      <c r="A134" t="s">
        <v>522</v>
      </c>
      <c r="B134">
        <v>7</v>
      </c>
    </row>
    <row r="135" spans="1:3">
      <c r="A135" t="s">
        <v>517</v>
      </c>
      <c r="B135">
        <v>7</v>
      </c>
      <c r="C135" t="s">
        <v>53</v>
      </c>
    </row>
    <row r="136" spans="1:3">
      <c r="A136" t="s">
        <v>518</v>
      </c>
      <c r="B136">
        <v>7</v>
      </c>
    </row>
    <row r="137" spans="1:3">
      <c r="A137" t="s">
        <v>530</v>
      </c>
      <c r="B137">
        <v>6</v>
      </c>
    </row>
    <row r="138" spans="1:3">
      <c r="A138" t="s">
        <v>526</v>
      </c>
      <c r="B138">
        <v>6</v>
      </c>
    </row>
    <row r="139" spans="1:3">
      <c r="A139" t="s">
        <v>516</v>
      </c>
      <c r="B139">
        <v>6</v>
      </c>
      <c r="C139" t="s">
        <v>573</v>
      </c>
    </row>
    <row r="140" spans="1:3">
      <c r="A140" t="s">
        <v>528</v>
      </c>
      <c r="B140">
        <v>6</v>
      </c>
      <c r="C140" t="s">
        <v>13</v>
      </c>
    </row>
    <row r="141" spans="1:3">
      <c r="A141" t="s">
        <v>532</v>
      </c>
      <c r="B141">
        <v>6</v>
      </c>
      <c r="C141" t="s">
        <v>573</v>
      </c>
    </row>
    <row r="142" spans="1:3">
      <c r="A142" t="s">
        <v>509</v>
      </c>
      <c r="B142">
        <v>6</v>
      </c>
    </row>
    <row r="143" spans="1:3" ht="17">
      <c r="A143" t="s">
        <v>529</v>
      </c>
      <c r="B143">
        <v>6</v>
      </c>
      <c r="C143" s="8" t="s">
        <v>71</v>
      </c>
    </row>
    <row r="144" spans="1:3">
      <c r="A144" t="s">
        <v>548</v>
      </c>
      <c r="B144">
        <v>5</v>
      </c>
    </row>
    <row r="145" spans="1:3">
      <c r="A145" t="s">
        <v>546</v>
      </c>
      <c r="B145">
        <v>5</v>
      </c>
    </row>
    <row r="146" spans="1:3">
      <c r="A146" t="s">
        <v>534</v>
      </c>
      <c r="B146">
        <v>5</v>
      </c>
    </row>
    <row r="147" spans="1:3">
      <c r="A147" t="s">
        <v>550</v>
      </c>
      <c r="B147">
        <v>5</v>
      </c>
    </row>
    <row r="148" spans="1:3">
      <c r="A148" t="s">
        <v>543</v>
      </c>
      <c r="B148">
        <v>5</v>
      </c>
      <c r="C148" t="s">
        <v>64</v>
      </c>
    </row>
    <row r="149" spans="1:3">
      <c r="A149" t="s">
        <v>541</v>
      </c>
      <c r="B149">
        <v>5</v>
      </c>
    </row>
    <row r="150" spans="1:3">
      <c r="A150" t="s">
        <v>539</v>
      </c>
      <c r="B150">
        <v>5</v>
      </c>
      <c r="C150" t="s">
        <v>573</v>
      </c>
    </row>
    <row r="151" spans="1:3">
      <c r="A151" t="s">
        <v>535</v>
      </c>
      <c r="B151">
        <v>5</v>
      </c>
    </row>
    <row r="152" spans="1:3">
      <c r="A152" t="s">
        <v>545</v>
      </c>
      <c r="B152">
        <v>5</v>
      </c>
    </row>
    <row r="153" spans="1:3">
      <c r="A153" t="s">
        <v>542</v>
      </c>
      <c r="B153">
        <v>5</v>
      </c>
    </row>
    <row r="154" spans="1:3">
      <c r="A154" t="s">
        <v>537</v>
      </c>
      <c r="B154">
        <v>5</v>
      </c>
    </row>
    <row r="155" spans="1:3">
      <c r="A155" t="s">
        <v>544</v>
      </c>
      <c r="B155">
        <v>5</v>
      </c>
    </row>
    <row r="156" spans="1:3">
      <c r="A156" t="s">
        <v>549</v>
      </c>
      <c r="B156">
        <v>5</v>
      </c>
      <c r="C156" t="s">
        <v>573</v>
      </c>
    </row>
    <row r="157" spans="1:3">
      <c r="A157" t="s">
        <v>536</v>
      </c>
      <c r="B157">
        <v>5</v>
      </c>
    </row>
    <row r="158" spans="1:3">
      <c r="A158" t="s">
        <v>525</v>
      </c>
      <c r="B158">
        <v>5</v>
      </c>
    </row>
    <row r="159" spans="1:3">
      <c r="A159" t="s">
        <v>540</v>
      </c>
      <c r="B159">
        <v>5</v>
      </c>
    </row>
    <row r="160" spans="1:3">
      <c r="A160" t="s">
        <v>527</v>
      </c>
      <c r="B160">
        <v>4</v>
      </c>
    </row>
    <row r="161" spans="1:3">
      <c r="A161" t="s">
        <v>574</v>
      </c>
      <c r="B161">
        <v>4</v>
      </c>
    </row>
    <row r="162" spans="1:3">
      <c r="A162" t="s">
        <v>569</v>
      </c>
      <c r="B162">
        <v>4</v>
      </c>
    </row>
    <row r="163" spans="1:3">
      <c r="A163" t="s">
        <v>554</v>
      </c>
      <c r="B163">
        <v>4</v>
      </c>
    </row>
    <row r="164" spans="1:3">
      <c r="A164" t="s">
        <v>564</v>
      </c>
      <c r="B164">
        <v>4</v>
      </c>
    </row>
    <row r="165" spans="1:3">
      <c r="A165" t="s">
        <v>571</v>
      </c>
      <c r="B165">
        <v>4</v>
      </c>
    </row>
    <row r="166" spans="1:3">
      <c r="A166" t="s">
        <v>575</v>
      </c>
      <c r="B166">
        <v>4</v>
      </c>
    </row>
    <row r="167" spans="1:3">
      <c r="A167" t="s">
        <v>565</v>
      </c>
      <c r="B167">
        <v>4</v>
      </c>
    </row>
    <row r="168" spans="1:3">
      <c r="A168" t="s">
        <v>570</v>
      </c>
      <c r="B168">
        <v>4</v>
      </c>
    </row>
    <row r="169" spans="1:3">
      <c r="A169" t="s">
        <v>511</v>
      </c>
      <c r="B169">
        <v>4</v>
      </c>
      <c r="C169" t="s">
        <v>573</v>
      </c>
    </row>
    <row r="170" spans="1:3">
      <c r="A170" t="s">
        <v>563</v>
      </c>
      <c r="B170">
        <v>4</v>
      </c>
    </row>
    <row r="171" spans="1:3">
      <c r="A171" t="s">
        <v>553</v>
      </c>
      <c r="B171">
        <v>4</v>
      </c>
    </row>
    <row r="172" spans="1:3">
      <c r="A172" t="s">
        <v>556</v>
      </c>
      <c r="B172">
        <v>4</v>
      </c>
    </row>
    <row r="173" spans="1:3">
      <c r="A173" t="s">
        <v>562</v>
      </c>
      <c r="B173">
        <v>4</v>
      </c>
      <c r="C173" t="s">
        <v>573</v>
      </c>
    </row>
    <row r="174" spans="1:3">
      <c r="A174" t="s">
        <v>533</v>
      </c>
      <c r="B174">
        <v>4</v>
      </c>
    </row>
    <row r="175" spans="1:3">
      <c r="A175" t="s">
        <v>560</v>
      </c>
      <c r="B175">
        <v>4</v>
      </c>
    </row>
    <row r="176" spans="1:3">
      <c r="A176" t="s">
        <v>557</v>
      </c>
      <c r="B176">
        <v>4</v>
      </c>
    </row>
    <row r="177" spans="1:3">
      <c r="A177" t="s">
        <v>566</v>
      </c>
      <c r="B177">
        <v>4</v>
      </c>
    </row>
    <row r="178" spans="1:3">
      <c r="A178" t="s">
        <v>538</v>
      </c>
      <c r="B178">
        <v>4</v>
      </c>
    </row>
    <row r="179" spans="1:3">
      <c r="A179" t="s">
        <v>555</v>
      </c>
      <c r="B179">
        <v>4</v>
      </c>
    </row>
    <row r="180" spans="1:3">
      <c r="A180" t="s">
        <v>577</v>
      </c>
      <c r="B180">
        <v>4</v>
      </c>
    </row>
    <row r="181" spans="1:3">
      <c r="A181" t="s">
        <v>567</v>
      </c>
      <c r="B181">
        <v>4</v>
      </c>
    </row>
    <row r="182" spans="1:3">
      <c r="A182" t="s">
        <v>558</v>
      </c>
      <c r="B182">
        <v>4</v>
      </c>
    </row>
    <row r="183" spans="1:3">
      <c r="A183" t="s">
        <v>561</v>
      </c>
      <c r="B183">
        <v>4</v>
      </c>
    </row>
    <row r="184" spans="1:3">
      <c r="A184" t="s">
        <v>576</v>
      </c>
      <c r="B184">
        <v>4</v>
      </c>
    </row>
    <row r="185" spans="1:3">
      <c r="A185" t="s">
        <v>21</v>
      </c>
      <c r="B185">
        <v>3</v>
      </c>
    </row>
    <row r="186" spans="1:3">
      <c r="A186" t="s">
        <v>580</v>
      </c>
      <c r="B186">
        <v>3</v>
      </c>
    </row>
    <row r="187" spans="1:3">
      <c r="A187" t="s">
        <v>39</v>
      </c>
      <c r="B187">
        <v>3</v>
      </c>
    </row>
    <row r="188" spans="1:3">
      <c r="A188" t="s">
        <v>597</v>
      </c>
      <c r="B188">
        <v>3</v>
      </c>
    </row>
    <row r="189" spans="1:3">
      <c r="A189" t="s">
        <v>596</v>
      </c>
      <c r="B189">
        <v>3</v>
      </c>
      <c r="C189" t="s">
        <v>573</v>
      </c>
    </row>
    <row r="190" spans="1:3">
      <c r="A190" t="s">
        <v>551</v>
      </c>
      <c r="B190">
        <v>3</v>
      </c>
    </row>
    <row r="191" spans="1:3">
      <c r="A191" t="s">
        <v>594</v>
      </c>
      <c r="B191">
        <v>3</v>
      </c>
    </row>
    <row r="192" spans="1:3">
      <c r="A192" t="s">
        <v>591</v>
      </c>
      <c r="B192">
        <v>3</v>
      </c>
    </row>
    <row r="193" spans="1:3">
      <c r="A193" t="s">
        <v>589</v>
      </c>
      <c r="B193">
        <v>3</v>
      </c>
    </row>
    <row r="194" spans="1:3">
      <c r="A194" t="s">
        <v>587</v>
      </c>
      <c r="B194">
        <v>3</v>
      </c>
    </row>
    <row r="195" spans="1:3">
      <c r="A195" t="s">
        <v>581</v>
      </c>
      <c r="B195">
        <v>3</v>
      </c>
      <c r="C195" t="s">
        <v>64</v>
      </c>
    </row>
    <row r="196" spans="1:3">
      <c r="A196" t="s">
        <v>592</v>
      </c>
      <c r="B196">
        <v>3</v>
      </c>
    </row>
    <row r="197" spans="1:3">
      <c r="A197" t="s">
        <v>584</v>
      </c>
      <c r="B197">
        <v>3</v>
      </c>
    </row>
    <row r="198" spans="1:3">
      <c r="A198" t="s">
        <v>595</v>
      </c>
      <c r="B198">
        <v>3</v>
      </c>
      <c r="C198" t="s">
        <v>573</v>
      </c>
    </row>
    <row r="199" spans="1:3">
      <c r="A199" t="s">
        <v>588</v>
      </c>
      <c r="B199">
        <v>3</v>
      </c>
    </row>
    <row r="200" spans="1:3">
      <c r="A200" t="s">
        <v>582</v>
      </c>
      <c r="B200">
        <v>3</v>
      </c>
    </row>
    <row r="201" spans="1:3">
      <c r="A201" t="s">
        <v>572</v>
      </c>
      <c r="B201">
        <v>3</v>
      </c>
    </row>
    <row r="202" spans="1:3">
      <c r="A202" t="s">
        <v>593</v>
      </c>
      <c r="B202">
        <v>3</v>
      </c>
    </row>
    <row r="203" spans="1:3">
      <c r="A203" t="s">
        <v>677</v>
      </c>
      <c r="B203">
        <v>3</v>
      </c>
    </row>
    <row r="204" spans="1:3">
      <c r="A204" t="s">
        <v>585</v>
      </c>
      <c r="B204">
        <v>3</v>
      </c>
    </row>
    <row r="205" spans="1:3">
      <c r="A205" t="s">
        <v>552</v>
      </c>
      <c r="B205">
        <v>3</v>
      </c>
    </row>
    <row r="206" spans="1:3">
      <c r="A206" t="s">
        <v>578</v>
      </c>
      <c r="B206">
        <v>3</v>
      </c>
    </row>
    <row r="207" spans="1:3">
      <c r="A207" t="s">
        <v>787</v>
      </c>
      <c r="B207">
        <v>3</v>
      </c>
    </row>
    <row r="208" spans="1:3">
      <c r="A208" t="s">
        <v>586</v>
      </c>
      <c r="B208">
        <v>3</v>
      </c>
    </row>
    <row r="209" spans="1:3">
      <c r="A209" t="s">
        <v>603</v>
      </c>
      <c r="B209">
        <v>2</v>
      </c>
    </row>
    <row r="210" spans="1:3">
      <c r="A210" t="s">
        <v>631</v>
      </c>
      <c r="B210">
        <v>2</v>
      </c>
    </row>
    <row r="211" spans="1:3">
      <c r="A211" t="s">
        <v>610</v>
      </c>
      <c r="B211">
        <v>2</v>
      </c>
    </row>
    <row r="212" spans="1:3">
      <c r="A212" t="s">
        <v>648</v>
      </c>
      <c r="B212">
        <v>2</v>
      </c>
    </row>
    <row r="213" spans="1:3">
      <c r="A213" t="s">
        <v>619</v>
      </c>
      <c r="B213">
        <v>2</v>
      </c>
    </row>
    <row r="214" spans="1:3">
      <c r="A214" t="s">
        <v>583</v>
      </c>
      <c r="B214">
        <v>2</v>
      </c>
      <c r="C214" t="s">
        <v>573</v>
      </c>
    </row>
    <row r="215" spans="1:3">
      <c r="A215" t="s">
        <v>614</v>
      </c>
      <c r="B215">
        <v>2</v>
      </c>
    </row>
    <row r="216" spans="1:3">
      <c r="A216" t="s">
        <v>627</v>
      </c>
      <c r="B216">
        <v>2</v>
      </c>
    </row>
    <row r="217" spans="1:3">
      <c r="A217" t="s">
        <v>628</v>
      </c>
      <c r="B217">
        <v>2</v>
      </c>
    </row>
    <row r="218" spans="1:3">
      <c r="A218" t="s">
        <v>659</v>
      </c>
      <c r="B218">
        <v>2</v>
      </c>
    </row>
    <row r="219" spans="1:3">
      <c r="A219" t="s">
        <v>660</v>
      </c>
      <c r="B219">
        <v>2</v>
      </c>
    </row>
    <row r="220" spans="1:3">
      <c r="A220" t="s">
        <v>641</v>
      </c>
      <c r="B220">
        <v>2</v>
      </c>
    </row>
    <row r="221" spans="1:3">
      <c r="A221" t="s">
        <v>613</v>
      </c>
      <c r="B221">
        <v>2</v>
      </c>
    </row>
    <row r="222" spans="1:3">
      <c r="A222" t="s">
        <v>606</v>
      </c>
      <c r="B222">
        <v>2</v>
      </c>
    </row>
    <row r="223" spans="1:3">
      <c r="A223" t="s">
        <v>623</v>
      </c>
      <c r="B223">
        <v>2</v>
      </c>
    </row>
    <row r="224" spans="1:3">
      <c r="A224" t="s">
        <v>622</v>
      </c>
      <c r="B224">
        <v>2</v>
      </c>
    </row>
    <row r="225" spans="1:3">
      <c r="A225" t="s">
        <v>608</v>
      </c>
      <c r="B225">
        <v>2</v>
      </c>
    </row>
    <row r="226" spans="1:3">
      <c r="A226" t="s">
        <v>658</v>
      </c>
      <c r="B226">
        <v>2</v>
      </c>
    </row>
    <row r="227" spans="1:3">
      <c r="A227" t="s">
        <v>629</v>
      </c>
      <c r="B227">
        <v>2</v>
      </c>
    </row>
    <row r="228" spans="1:3">
      <c r="A228" t="s">
        <v>636</v>
      </c>
      <c r="B228">
        <v>2</v>
      </c>
    </row>
    <row r="229" spans="1:3">
      <c r="A229" t="s">
        <v>601</v>
      </c>
      <c r="B229">
        <v>2</v>
      </c>
    </row>
    <row r="230" spans="1:3">
      <c r="A230" t="s">
        <v>646</v>
      </c>
      <c r="B230">
        <v>2</v>
      </c>
    </row>
    <row r="231" spans="1:3">
      <c r="A231" t="s">
        <v>647</v>
      </c>
      <c r="B231">
        <v>2</v>
      </c>
    </row>
    <row r="232" spans="1:3">
      <c r="A232" t="s">
        <v>640</v>
      </c>
      <c r="B232">
        <v>2</v>
      </c>
    </row>
    <row r="233" spans="1:3">
      <c r="A233" t="s">
        <v>612</v>
      </c>
      <c r="B233">
        <v>2</v>
      </c>
    </row>
    <row r="234" spans="1:3">
      <c r="A234" t="s">
        <v>642</v>
      </c>
      <c r="B234">
        <v>2</v>
      </c>
    </row>
    <row r="235" spans="1:3">
      <c r="A235" t="s">
        <v>568</v>
      </c>
      <c r="B235">
        <v>2</v>
      </c>
    </row>
    <row r="236" spans="1:3">
      <c r="A236" t="s">
        <v>657</v>
      </c>
      <c r="B236">
        <v>2</v>
      </c>
      <c r="C236" t="s">
        <v>64</v>
      </c>
    </row>
    <row r="237" spans="1:3">
      <c r="A237" t="s">
        <v>633</v>
      </c>
      <c r="B237">
        <v>2</v>
      </c>
      <c r="C237" t="s">
        <v>573</v>
      </c>
    </row>
    <row r="238" spans="1:3">
      <c r="A238" t="s">
        <v>645</v>
      </c>
      <c r="B238">
        <v>2</v>
      </c>
    </row>
    <row r="239" spans="1:3">
      <c r="A239" t="s">
        <v>650</v>
      </c>
      <c r="B239">
        <v>2</v>
      </c>
    </row>
    <row r="240" spans="1:3">
      <c r="A240" t="s">
        <v>618</v>
      </c>
      <c r="B240">
        <v>2</v>
      </c>
    </row>
    <row r="241" spans="1:3">
      <c r="A241" t="s">
        <v>559</v>
      </c>
      <c r="B241">
        <v>2</v>
      </c>
    </row>
    <row r="242" spans="1:3">
      <c r="A242" t="s">
        <v>337</v>
      </c>
      <c r="B242">
        <v>2</v>
      </c>
    </row>
    <row r="243" spans="1:3">
      <c r="A243" t="s">
        <v>607</v>
      </c>
      <c r="B243">
        <v>2</v>
      </c>
      <c r="C243" t="s">
        <v>573</v>
      </c>
    </row>
    <row r="244" spans="1:3">
      <c r="A244" t="s">
        <v>624</v>
      </c>
      <c r="B244">
        <v>2</v>
      </c>
    </row>
    <row r="245" spans="1:3">
      <c r="A245" t="s">
        <v>599</v>
      </c>
      <c r="B245">
        <v>2</v>
      </c>
      <c r="C245" t="s">
        <v>53</v>
      </c>
    </row>
    <row r="246" spans="1:3">
      <c r="A246" t="s">
        <v>626</v>
      </c>
      <c r="B246">
        <v>2</v>
      </c>
    </row>
    <row r="247" spans="1:3">
      <c r="A247" t="s">
        <v>621</v>
      </c>
      <c r="B247">
        <v>2</v>
      </c>
    </row>
    <row r="248" spans="1:3">
      <c r="A248" t="s">
        <v>617</v>
      </c>
      <c r="B248">
        <v>2</v>
      </c>
      <c r="C248" t="s">
        <v>53</v>
      </c>
    </row>
    <row r="249" spans="1:3">
      <c r="A249" t="s">
        <v>620</v>
      </c>
      <c r="B249">
        <v>2</v>
      </c>
    </row>
    <row r="250" spans="1:3">
      <c r="A250" t="s">
        <v>605</v>
      </c>
      <c r="B250">
        <v>2</v>
      </c>
    </row>
    <row r="251" spans="1:3">
      <c r="A251" t="s">
        <v>656</v>
      </c>
      <c r="B251">
        <v>2</v>
      </c>
      <c r="C251" t="s">
        <v>573</v>
      </c>
    </row>
    <row r="252" spans="1:3">
      <c r="A252" t="s">
        <v>630</v>
      </c>
      <c r="B252">
        <v>2</v>
      </c>
    </row>
    <row r="253" spans="1:3">
      <c r="A253" t="s">
        <v>604</v>
      </c>
      <c r="B253">
        <v>2</v>
      </c>
    </row>
    <row r="254" spans="1:3">
      <c r="A254" t="s">
        <v>655</v>
      </c>
      <c r="B254">
        <v>2</v>
      </c>
    </row>
    <row r="255" spans="1:3">
      <c r="A255" t="s">
        <v>602</v>
      </c>
      <c r="B255">
        <v>2</v>
      </c>
    </row>
    <row r="256" spans="1:3">
      <c r="A256" t="s">
        <v>652</v>
      </c>
      <c r="B256">
        <v>2</v>
      </c>
    </row>
    <row r="257" spans="1:3">
      <c r="A257" t="s">
        <v>609</v>
      </c>
      <c r="B257">
        <v>2</v>
      </c>
    </row>
    <row r="258" spans="1:3">
      <c r="A258" t="s">
        <v>637</v>
      </c>
      <c r="B258">
        <v>2</v>
      </c>
    </row>
    <row r="259" spans="1:3">
      <c r="A259" t="s">
        <v>643</v>
      </c>
      <c r="B259">
        <v>2</v>
      </c>
      <c r="C259" t="s">
        <v>573</v>
      </c>
    </row>
    <row r="260" spans="1:3">
      <c r="A260" t="s">
        <v>639</v>
      </c>
      <c r="B260">
        <v>2</v>
      </c>
    </row>
    <row r="261" spans="1:3">
      <c r="A261" t="s">
        <v>654</v>
      </c>
      <c r="B261">
        <v>2</v>
      </c>
    </row>
    <row r="262" spans="1:3">
      <c r="A262" t="s">
        <v>638</v>
      </c>
      <c r="B262">
        <v>2</v>
      </c>
    </row>
    <row r="263" spans="1:3">
      <c r="A263" t="s">
        <v>616</v>
      </c>
      <c r="B263">
        <v>2</v>
      </c>
    </row>
    <row r="264" spans="1:3">
      <c r="A264" t="s">
        <v>634</v>
      </c>
      <c r="B264">
        <v>2</v>
      </c>
    </row>
    <row r="265" spans="1:3">
      <c r="A265" t="s">
        <v>600</v>
      </c>
      <c r="B265">
        <v>2</v>
      </c>
    </row>
    <row r="266" spans="1:3">
      <c r="A266" t="s">
        <v>649</v>
      </c>
      <c r="B266">
        <v>2</v>
      </c>
      <c r="C266" t="s">
        <v>573</v>
      </c>
    </row>
    <row r="267" spans="1:3">
      <c r="A267" t="s">
        <v>651</v>
      </c>
      <c r="B267">
        <v>2</v>
      </c>
    </row>
    <row r="268" spans="1:3">
      <c r="A268" t="s">
        <v>653</v>
      </c>
      <c r="B268">
        <v>2</v>
      </c>
    </row>
    <row r="269" spans="1:3">
      <c r="A269" t="s">
        <v>615</v>
      </c>
      <c r="B269">
        <v>2</v>
      </c>
      <c r="C269" t="s">
        <v>573</v>
      </c>
    </row>
    <row r="270" spans="1:3">
      <c r="A270" t="s">
        <v>635</v>
      </c>
      <c r="B270">
        <v>2</v>
      </c>
    </row>
    <row r="271" spans="1:3">
      <c r="A271" t="s">
        <v>728</v>
      </c>
      <c r="B271">
        <v>1</v>
      </c>
    </row>
    <row r="272" spans="1:3">
      <c r="A272" t="s">
        <v>727</v>
      </c>
      <c r="B272">
        <v>1</v>
      </c>
    </row>
    <row r="273" spans="1:2">
      <c r="A273" t="s">
        <v>719</v>
      </c>
      <c r="B273">
        <v>1</v>
      </c>
    </row>
    <row r="274" spans="1:2">
      <c r="A274" t="s">
        <v>688</v>
      </c>
      <c r="B274">
        <v>1</v>
      </c>
    </row>
    <row r="275" spans="1:2">
      <c r="A275" t="s">
        <v>686</v>
      </c>
      <c r="B275">
        <v>1</v>
      </c>
    </row>
    <row r="276" spans="1:2">
      <c r="A276" t="s">
        <v>598</v>
      </c>
      <c r="B276">
        <v>1</v>
      </c>
    </row>
    <row r="277" spans="1:2">
      <c r="A277" t="s">
        <v>730</v>
      </c>
      <c r="B277">
        <v>1</v>
      </c>
    </row>
    <row r="278" spans="1:2">
      <c r="A278" t="s">
        <v>778</v>
      </c>
      <c r="B278">
        <v>1</v>
      </c>
    </row>
    <row r="279" spans="1:2">
      <c r="A279" t="s">
        <v>724</v>
      </c>
      <c r="B279">
        <v>1</v>
      </c>
    </row>
    <row r="280" spans="1:2">
      <c r="A280" t="s">
        <v>726</v>
      </c>
      <c r="B280">
        <v>1</v>
      </c>
    </row>
    <row r="281" spans="1:2">
      <c r="A281" t="s">
        <v>761</v>
      </c>
      <c r="B281">
        <v>1</v>
      </c>
    </row>
    <row r="282" spans="1:2">
      <c r="A282" t="s">
        <v>775</v>
      </c>
      <c r="B282">
        <v>1</v>
      </c>
    </row>
    <row r="283" spans="1:2">
      <c r="A283" t="s">
        <v>765</v>
      </c>
      <c r="B283">
        <v>1</v>
      </c>
    </row>
    <row r="284" spans="1:2">
      <c r="A284" t="s">
        <v>736</v>
      </c>
      <c r="B284">
        <v>1</v>
      </c>
    </row>
    <row r="285" spans="1:2">
      <c r="A285" t="s">
        <v>750</v>
      </c>
      <c r="B285">
        <v>1</v>
      </c>
    </row>
    <row r="286" spans="1:2">
      <c r="A286" t="s">
        <v>766</v>
      </c>
      <c r="B286">
        <v>1</v>
      </c>
    </row>
    <row r="287" spans="1:2">
      <c r="A287" t="s">
        <v>777</v>
      </c>
      <c r="B287">
        <v>1</v>
      </c>
    </row>
    <row r="288" spans="1:2">
      <c r="A288" t="s">
        <v>768</v>
      </c>
      <c r="B288">
        <v>1</v>
      </c>
    </row>
    <row r="289" spans="1:2">
      <c r="A289" t="s">
        <v>732</v>
      </c>
      <c r="B289">
        <v>1</v>
      </c>
    </row>
    <row r="290" spans="1:2">
      <c r="A290" t="s">
        <v>746</v>
      </c>
      <c r="B290">
        <v>1</v>
      </c>
    </row>
    <row r="291" spans="1:2">
      <c r="A291" t="s">
        <v>722</v>
      </c>
      <c r="B291">
        <v>1</v>
      </c>
    </row>
    <row r="292" spans="1:2">
      <c r="A292" t="s">
        <v>748</v>
      </c>
      <c r="B292">
        <v>1</v>
      </c>
    </row>
    <row r="293" spans="1:2">
      <c r="A293" t="s">
        <v>760</v>
      </c>
      <c r="B293">
        <v>1</v>
      </c>
    </row>
    <row r="294" spans="1:2">
      <c r="A294" t="s">
        <v>662</v>
      </c>
      <c r="B294">
        <v>1</v>
      </c>
    </row>
    <row r="295" spans="1:2">
      <c r="A295" t="s">
        <v>741</v>
      </c>
      <c r="B295">
        <v>1</v>
      </c>
    </row>
    <row r="296" spans="1:2">
      <c r="A296" t="s">
        <v>707</v>
      </c>
      <c r="B296">
        <v>1</v>
      </c>
    </row>
    <row r="297" spans="1:2">
      <c r="A297" t="s">
        <v>742</v>
      </c>
      <c r="B297">
        <v>1</v>
      </c>
    </row>
    <row r="298" spans="1:2">
      <c r="A298" t="s">
        <v>749</v>
      </c>
      <c r="B298">
        <v>1</v>
      </c>
    </row>
    <row r="299" spans="1:2">
      <c r="A299" t="s">
        <v>723</v>
      </c>
      <c r="B299">
        <v>1</v>
      </c>
    </row>
    <row r="300" spans="1:2">
      <c r="A300" t="s">
        <v>753</v>
      </c>
      <c r="B300">
        <v>1</v>
      </c>
    </row>
    <row r="301" spans="1:2">
      <c r="A301" t="s">
        <v>720</v>
      </c>
      <c r="B301">
        <v>1</v>
      </c>
    </row>
    <row r="302" spans="1:2">
      <c r="A302" t="s">
        <v>776</v>
      </c>
      <c r="B302">
        <v>1</v>
      </c>
    </row>
    <row r="303" spans="1:2">
      <c r="A303" t="s">
        <v>734</v>
      </c>
      <c r="B303">
        <v>1</v>
      </c>
    </row>
    <row r="304" spans="1:2">
      <c r="A304" t="s">
        <v>733</v>
      </c>
      <c r="B304">
        <v>1</v>
      </c>
    </row>
    <row r="305" spans="1:3">
      <c r="A305" t="s">
        <v>745</v>
      </c>
      <c r="B305">
        <v>1</v>
      </c>
    </row>
    <row r="306" spans="1:3">
      <c r="A306" t="s">
        <v>743</v>
      </c>
      <c r="B306">
        <v>1</v>
      </c>
    </row>
    <row r="307" spans="1:3">
      <c r="A307" t="s">
        <v>678</v>
      </c>
      <c r="B307">
        <v>1</v>
      </c>
    </row>
    <row r="308" spans="1:3">
      <c r="A308" t="s">
        <v>693</v>
      </c>
      <c r="B308">
        <v>1</v>
      </c>
    </row>
    <row r="309" spans="1:3">
      <c r="A309" t="s">
        <v>683</v>
      </c>
      <c r="B309">
        <v>1</v>
      </c>
    </row>
    <row r="310" spans="1:3">
      <c r="A310" t="s">
        <v>737</v>
      </c>
      <c r="B310">
        <v>1</v>
      </c>
    </row>
    <row r="311" spans="1:3">
      <c r="A311" t="s">
        <v>735</v>
      </c>
      <c r="B311">
        <v>1</v>
      </c>
    </row>
    <row r="312" spans="1:3">
      <c r="A312" t="s">
        <v>661</v>
      </c>
      <c r="B312">
        <v>1</v>
      </c>
    </row>
    <row r="313" spans="1:3">
      <c r="A313" t="s">
        <v>725</v>
      </c>
      <c r="B313">
        <v>1</v>
      </c>
    </row>
    <row r="314" spans="1:3">
      <c r="A314" t="s">
        <v>744</v>
      </c>
      <c r="B314">
        <v>1</v>
      </c>
    </row>
    <row r="315" spans="1:3">
      <c r="A315" t="s">
        <v>685</v>
      </c>
      <c r="B315">
        <v>1</v>
      </c>
    </row>
    <row r="316" spans="1:3">
      <c r="A316" t="s">
        <v>706</v>
      </c>
      <c r="B316">
        <v>1</v>
      </c>
    </row>
    <row r="317" spans="1:3">
      <c r="A317" t="s">
        <v>747</v>
      </c>
      <c r="B317">
        <v>1</v>
      </c>
    </row>
    <row r="318" spans="1:3">
      <c r="A318" t="s">
        <v>751</v>
      </c>
      <c r="B318">
        <v>1</v>
      </c>
      <c r="C318" t="s">
        <v>79</v>
      </c>
    </row>
    <row r="319" spans="1:3">
      <c r="A319" t="s">
        <v>705</v>
      </c>
      <c r="B319">
        <v>1</v>
      </c>
    </row>
    <row r="320" spans="1:3">
      <c r="A320" t="s">
        <v>692</v>
      </c>
      <c r="B320">
        <v>1</v>
      </c>
    </row>
    <row r="321" spans="1:3">
      <c r="A321" t="s">
        <v>769</v>
      </c>
      <c r="B321">
        <v>1</v>
      </c>
    </row>
    <row r="322" spans="1:3">
      <c r="A322" t="s">
        <v>644</v>
      </c>
      <c r="B322">
        <v>1</v>
      </c>
    </row>
    <row r="323" spans="1:3">
      <c r="A323" t="s">
        <v>704</v>
      </c>
      <c r="B323">
        <v>1</v>
      </c>
    </row>
    <row r="324" spans="1:3">
      <c r="A324" t="s">
        <v>770</v>
      </c>
      <c r="B324">
        <v>1</v>
      </c>
    </row>
    <row r="325" spans="1:3">
      <c r="A325" t="s">
        <v>721</v>
      </c>
      <c r="B325">
        <v>1</v>
      </c>
    </row>
    <row r="326" spans="1:3">
      <c r="A326" t="s">
        <v>579</v>
      </c>
      <c r="B326">
        <v>1</v>
      </c>
      <c r="C326" t="s">
        <v>573</v>
      </c>
    </row>
    <row r="327" spans="1:3">
      <c r="A327" t="s">
        <v>709</v>
      </c>
      <c r="B327">
        <v>1</v>
      </c>
    </row>
    <row r="328" spans="1:3">
      <c r="A328" t="s">
        <v>702</v>
      </c>
      <c r="B328">
        <v>1</v>
      </c>
    </row>
    <row r="329" spans="1:3">
      <c r="A329" t="s">
        <v>673</v>
      </c>
      <c r="B329">
        <v>1</v>
      </c>
    </row>
    <row r="330" spans="1:3">
      <c r="A330" t="s">
        <v>674</v>
      </c>
      <c r="B330">
        <v>1</v>
      </c>
    </row>
    <row r="331" spans="1:3">
      <c r="A331" t="s">
        <v>675</v>
      </c>
      <c r="B331">
        <v>1</v>
      </c>
    </row>
    <row r="332" spans="1:3">
      <c r="A332" t="s">
        <v>773</v>
      </c>
      <c r="B332">
        <v>1</v>
      </c>
    </row>
    <row r="333" spans="1:3">
      <c r="A333" t="s">
        <v>690</v>
      </c>
      <c r="B333">
        <v>1</v>
      </c>
    </row>
    <row r="334" spans="1:3">
      <c r="A334" t="s">
        <v>708</v>
      </c>
      <c r="B334">
        <v>1</v>
      </c>
    </row>
    <row r="335" spans="1:3">
      <c r="A335" t="s">
        <v>684</v>
      </c>
      <c r="B335">
        <v>1</v>
      </c>
    </row>
    <row r="336" spans="1:3">
      <c r="A336" t="s">
        <v>754</v>
      </c>
      <c r="B336">
        <v>1</v>
      </c>
    </row>
    <row r="337" spans="1:2">
      <c r="A337" t="s">
        <v>759</v>
      </c>
      <c r="B337">
        <v>1</v>
      </c>
    </row>
    <row r="338" spans="1:2">
      <c r="A338" t="s">
        <v>758</v>
      </c>
      <c r="B338">
        <v>1</v>
      </c>
    </row>
    <row r="339" spans="1:2">
      <c r="A339" t="s">
        <v>762</v>
      </c>
      <c r="B339">
        <v>1</v>
      </c>
    </row>
    <row r="340" spans="1:2">
      <c r="A340" t="s">
        <v>757</v>
      </c>
      <c r="B340">
        <v>1</v>
      </c>
    </row>
    <row r="341" spans="1:2">
      <c r="A341" t="s">
        <v>756</v>
      </c>
      <c r="B341">
        <v>1</v>
      </c>
    </row>
    <row r="342" spans="1:2">
      <c r="A342" t="s">
        <v>755</v>
      </c>
      <c r="B342">
        <v>1</v>
      </c>
    </row>
    <row r="343" spans="1:2">
      <c r="A343" t="s">
        <v>763</v>
      </c>
      <c r="B343">
        <v>1</v>
      </c>
    </row>
    <row r="344" spans="1:2">
      <c r="A344" t="s">
        <v>767</v>
      </c>
      <c r="B344">
        <v>1</v>
      </c>
    </row>
    <row r="345" spans="1:2">
      <c r="A345" t="s">
        <v>771</v>
      </c>
      <c r="B345">
        <v>1</v>
      </c>
    </row>
    <row r="346" spans="1:2">
      <c r="A346" t="s">
        <v>764</v>
      </c>
      <c r="B346">
        <v>1</v>
      </c>
    </row>
    <row r="347" spans="1:2">
      <c r="A347" t="s">
        <v>752</v>
      </c>
      <c r="B347">
        <v>1</v>
      </c>
    </row>
    <row r="348" spans="1:2">
      <c r="A348" t="s">
        <v>664</v>
      </c>
      <c r="B348">
        <v>1</v>
      </c>
    </row>
    <row r="349" spans="1:2">
      <c r="A349" t="s">
        <v>611</v>
      </c>
      <c r="B349">
        <v>1</v>
      </c>
    </row>
    <row r="350" spans="1:2">
      <c r="A350" t="s">
        <v>666</v>
      </c>
      <c r="B350">
        <v>1</v>
      </c>
    </row>
    <row r="351" spans="1:2">
      <c r="A351" t="s">
        <v>700</v>
      </c>
      <c r="B351">
        <v>1</v>
      </c>
    </row>
    <row r="352" spans="1:2">
      <c r="A352" t="s">
        <v>699</v>
      </c>
      <c r="B352">
        <v>1</v>
      </c>
    </row>
    <row r="353" spans="1:2">
      <c r="A353" t="s">
        <v>698</v>
      </c>
      <c r="B353">
        <v>1</v>
      </c>
    </row>
    <row r="354" spans="1:2">
      <c r="A354" t="s">
        <v>716</v>
      </c>
      <c r="B354">
        <v>1</v>
      </c>
    </row>
    <row r="355" spans="1:2">
      <c r="A355" t="s">
        <v>689</v>
      </c>
      <c r="B355">
        <v>1</v>
      </c>
    </row>
    <row r="356" spans="1:2">
      <c r="A356" t="s">
        <v>691</v>
      </c>
      <c r="B356">
        <v>1</v>
      </c>
    </row>
    <row r="357" spans="1:2">
      <c r="A357" t="s">
        <v>679</v>
      </c>
      <c r="B357">
        <v>1</v>
      </c>
    </row>
    <row r="358" spans="1:2">
      <c r="A358" t="s">
        <v>680</v>
      </c>
      <c r="B358">
        <v>1</v>
      </c>
    </row>
    <row r="359" spans="1:2">
      <c r="A359" t="s">
        <v>718</v>
      </c>
      <c r="B359">
        <v>1</v>
      </c>
    </row>
    <row r="360" spans="1:2">
      <c r="A360" t="s">
        <v>717</v>
      </c>
      <c r="B360">
        <v>1</v>
      </c>
    </row>
    <row r="361" spans="1:2">
      <c r="A361" t="s">
        <v>715</v>
      </c>
      <c r="B361">
        <v>1</v>
      </c>
    </row>
    <row r="362" spans="1:2">
      <c r="A362" t="s">
        <v>676</v>
      </c>
      <c r="B362">
        <v>1</v>
      </c>
    </row>
    <row r="363" spans="1:2">
      <c r="A363" t="s">
        <v>713</v>
      </c>
      <c r="B363">
        <v>1</v>
      </c>
    </row>
    <row r="364" spans="1:2">
      <c r="A364" t="s">
        <v>681</v>
      </c>
      <c r="B364">
        <v>1</v>
      </c>
    </row>
    <row r="365" spans="1:2">
      <c r="A365" t="s">
        <v>665</v>
      </c>
      <c r="B365">
        <v>1</v>
      </c>
    </row>
    <row r="366" spans="1:2">
      <c r="A366" t="s">
        <v>682</v>
      </c>
      <c r="B366">
        <v>1</v>
      </c>
    </row>
    <row r="367" spans="1:2">
      <c r="A367" t="s">
        <v>774</v>
      </c>
      <c r="B367">
        <v>1</v>
      </c>
    </row>
    <row r="368" spans="1:2">
      <c r="A368" t="s">
        <v>738</v>
      </c>
      <c r="B368">
        <v>1</v>
      </c>
    </row>
    <row r="369" spans="1:3">
      <c r="A369" t="s">
        <v>672</v>
      </c>
      <c r="B369">
        <v>1</v>
      </c>
    </row>
    <row r="370" spans="1:3">
      <c r="A370" t="s">
        <v>667</v>
      </c>
      <c r="B370">
        <v>1</v>
      </c>
    </row>
    <row r="371" spans="1:3">
      <c r="A371" t="s">
        <v>671</v>
      </c>
      <c r="B371">
        <v>1</v>
      </c>
    </row>
    <row r="372" spans="1:3">
      <c r="A372" t="s">
        <v>670</v>
      </c>
      <c r="B372">
        <v>1</v>
      </c>
    </row>
    <row r="373" spans="1:3">
      <c r="A373" t="s">
        <v>669</v>
      </c>
      <c r="B373">
        <v>1</v>
      </c>
      <c r="C373" t="s">
        <v>64</v>
      </c>
    </row>
    <row r="374" spans="1:3">
      <c r="A374" t="s">
        <v>668</v>
      </c>
      <c r="B374">
        <v>1</v>
      </c>
    </row>
    <row r="375" spans="1:3">
      <c r="A375" t="s">
        <v>625</v>
      </c>
      <c r="B375">
        <v>1</v>
      </c>
    </row>
    <row r="376" spans="1:3">
      <c r="A376" t="s">
        <v>663</v>
      </c>
      <c r="B376">
        <v>1</v>
      </c>
    </row>
    <row r="377" spans="1:3">
      <c r="A377" t="s">
        <v>712</v>
      </c>
      <c r="B377">
        <v>1</v>
      </c>
    </row>
    <row r="378" spans="1:3">
      <c r="A378" t="s">
        <v>711</v>
      </c>
      <c r="B378">
        <v>1</v>
      </c>
    </row>
    <row r="379" spans="1:3">
      <c r="A379" t="s">
        <v>788</v>
      </c>
      <c r="B379">
        <v>1</v>
      </c>
    </row>
    <row r="380" spans="1:3">
      <c r="A380" t="s">
        <v>710</v>
      </c>
      <c r="B380">
        <v>1</v>
      </c>
    </row>
    <row r="381" spans="1:3">
      <c r="A381" t="s">
        <v>701</v>
      </c>
      <c r="B381">
        <v>1</v>
      </c>
    </row>
    <row r="382" spans="1:3">
      <c r="A382" t="s">
        <v>694</v>
      </c>
      <c r="B382">
        <v>1</v>
      </c>
    </row>
    <row r="383" spans="1:3">
      <c r="A383" t="s">
        <v>789</v>
      </c>
      <c r="B383">
        <v>1</v>
      </c>
    </row>
    <row r="384" spans="1:3">
      <c r="A384" t="s">
        <v>696</v>
      </c>
      <c r="B384">
        <v>1</v>
      </c>
    </row>
    <row r="385" spans="1:3">
      <c r="A385" t="s">
        <v>697</v>
      </c>
      <c r="B385">
        <v>1</v>
      </c>
    </row>
    <row r="386" spans="1:3">
      <c r="A386" t="s">
        <v>779</v>
      </c>
      <c r="B386">
        <v>1</v>
      </c>
    </row>
    <row r="387" spans="1:3">
      <c r="A387" s="2" t="s">
        <v>741</v>
      </c>
      <c r="C387" s="9" t="s">
        <v>790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50821-EB68-7C46-81DA-EE7C9FD92A4E}">
  <dimension ref="A1:D401"/>
  <sheetViews>
    <sheetView topLeftCell="A38" zoomScale="161" workbookViewId="0">
      <selection activeCell="G13" sqref="G13"/>
    </sheetView>
  </sheetViews>
  <sheetFormatPr baseColWidth="10" defaultColWidth="11" defaultRowHeight="16"/>
  <cols>
    <col min="1" max="1" width="34.33203125" customWidth="1"/>
    <col min="3" max="3" width="20.5" customWidth="1"/>
    <col min="4" max="4" width="20" customWidth="1"/>
  </cols>
  <sheetData>
    <row r="1" spans="1:4">
      <c r="A1" s="1" t="s">
        <v>387</v>
      </c>
      <c r="B1" s="1" t="s">
        <v>388</v>
      </c>
      <c r="C1" s="5" t="s">
        <v>791</v>
      </c>
      <c r="D1" s="5" t="s">
        <v>389</v>
      </c>
    </row>
    <row r="2" spans="1:4">
      <c r="A2" s="2" t="s">
        <v>70</v>
      </c>
      <c r="B2" s="2">
        <v>29028</v>
      </c>
      <c r="C2" t="str">
        <f>_xlfn.XLOOKUP(A2,Merging2!A:A,Merging2!C:C," ",)</f>
        <v>Military Forces of Syria</v>
      </c>
      <c r="D2" t="str">
        <f>IF(C2&lt;&gt;0,C2,"")</f>
        <v>Military Forces of Syria</v>
      </c>
    </row>
    <row r="3" spans="1:4">
      <c r="A3" s="2" t="s">
        <v>61</v>
      </c>
      <c r="B3" s="2">
        <v>8988</v>
      </c>
      <c r="C3" t="str">
        <f>_xlfn.XLOOKUP(A3,Merging2!A:A,Merging2!C:C," ",)</f>
        <v>Syrian Democratic Forces</v>
      </c>
      <c r="D3" t="str">
        <f t="shared" ref="D3:D66" si="0">IF(C3&lt;&gt;0,C3,"")</f>
        <v>Syrian Democratic Forces</v>
      </c>
    </row>
    <row r="4" spans="1:4">
      <c r="A4" s="2" t="s">
        <v>391</v>
      </c>
      <c r="B4" s="2">
        <v>7934</v>
      </c>
      <c r="C4" t="s">
        <v>392</v>
      </c>
      <c r="D4" t="str">
        <f t="shared" si="0"/>
        <v>The Islamic State</v>
      </c>
    </row>
    <row r="5" spans="1:4">
      <c r="A5" s="2" t="s">
        <v>393</v>
      </c>
      <c r="B5" s="2">
        <v>6823</v>
      </c>
      <c r="C5" t="str">
        <f>_xlfn.XLOOKUP(A5,Merging2!A:A,Merging2!C:C," ",)</f>
        <v>x</v>
      </c>
      <c r="D5" t="str">
        <f t="shared" si="0"/>
        <v>x</v>
      </c>
    </row>
    <row r="6" spans="1:4">
      <c r="A6" s="2" t="s">
        <v>394</v>
      </c>
      <c r="B6" s="2">
        <v>4823</v>
      </c>
      <c r="C6" t="str">
        <f>_xlfn.XLOOKUP(A6,Merging2!A:A,Merging2!C:C," ",)</f>
        <v>x</v>
      </c>
      <c r="D6" t="str">
        <f t="shared" si="0"/>
        <v>x</v>
      </c>
    </row>
    <row r="7" spans="1:4">
      <c r="A7" s="2" t="s">
        <v>395</v>
      </c>
      <c r="B7" s="2">
        <v>3052</v>
      </c>
      <c r="C7" t="str">
        <f>_xlfn.XLOOKUP(A7,Merging2!A:A,Merging2!C:C," ",)</f>
        <v>HTS: Hayat Tahrir al-Sham</v>
      </c>
      <c r="D7" t="str">
        <f t="shared" si="0"/>
        <v>HTS: Hayat Tahrir al-Sham</v>
      </c>
    </row>
    <row r="8" spans="1:4">
      <c r="A8" s="2" t="s">
        <v>396</v>
      </c>
      <c r="B8" s="2">
        <v>1276</v>
      </c>
      <c r="C8" t="str">
        <f>_xlfn.XLOOKUP(A8,Merging2!A:A,Merging2!C:C," ",)</f>
        <v>Turkey</v>
      </c>
      <c r="D8" t="str">
        <f t="shared" si="0"/>
        <v>Turkey</v>
      </c>
    </row>
    <row r="9" spans="1:4">
      <c r="A9" s="2" t="s">
        <v>13</v>
      </c>
      <c r="B9" s="2">
        <v>1244</v>
      </c>
      <c r="C9" t="str">
        <f>_xlfn.XLOOKUP(A9,Merging2!A:A,Merging2!C:C," ",)</f>
        <v>Free Syrian Army</v>
      </c>
      <c r="D9" t="str">
        <f t="shared" si="0"/>
        <v>Free Syrian Army</v>
      </c>
    </row>
    <row r="10" spans="1:4">
      <c r="A10" s="2" t="s">
        <v>149</v>
      </c>
      <c r="B10" s="2">
        <v>1232</v>
      </c>
      <c r="C10" t="str">
        <f>_xlfn.XLOOKUP(A10,Merging2!A:A,Merging2!C:C," ",)</f>
        <v>x</v>
      </c>
      <c r="D10" t="str">
        <f t="shared" si="0"/>
        <v>x</v>
      </c>
    </row>
    <row r="11" spans="1:4">
      <c r="A11" s="2" t="s">
        <v>397</v>
      </c>
      <c r="B11" s="2">
        <v>1125</v>
      </c>
      <c r="C11" t="str">
        <f>_xlfn.XLOOKUP(A11,Merging2!A:A,Merging2!C:C," ",)</f>
        <v>Russia</v>
      </c>
      <c r="D11" t="str">
        <f t="shared" si="0"/>
        <v>Russia</v>
      </c>
    </row>
    <row r="12" spans="1:4">
      <c r="A12" s="2" t="s">
        <v>398</v>
      </c>
      <c r="B12" s="2">
        <v>860</v>
      </c>
      <c r="C12" t="str">
        <f>_xlfn.XLOOKUP(A12,Merging2!A:A,Merging2!C:C," ",)</f>
        <v>Turkey</v>
      </c>
      <c r="D12" t="str">
        <f t="shared" si="0"/>
        <v>Turkey</v>
      </c>
    </row>
    <row r="13" spans="1:4">
      <c r="A13" s="2" t="s">
        <v>399</v>
      </c>
      <c r="B13" s="2">
        <v>682</v>
      </c>
      <c r="C13" t="str">
        <f>_xlfn.XLOOKUP(A13,Merging2!A:A,Merging2!C:C," ",)</f>
        <v>Ahrar al-Sham</v>
      </c>
      <c r="D13" t="str">
        <f t="shared" si="0"/>
        <v>Ahrar al-Sham</v>
      </c>
    </row>
    <row r="14" spans="1:4">
      <c r="A14" s="2" t="s">
        <v>400</v>
      </c>
      <c r="B14" s="2">
        <v>577</v>
      </c>
      <c r="C14" t="str">
        <f>_xlfn.XLOOKUP(A14,Merging2!A:A,Merging2!C:C," ",)</f>
        <v>Military Forces of Syria</v>
      </c>
      <c r="D14" t="str">
        <f t="shared" si="0"/>
        <v>Military Forces of Syria</v>
      </c>
    </row>
    <row r="15" spans="1:4">
      <c r="A15" s="2" t="s">
        <v>79</v>
      </c>
      <c r="B15" s="2">
        <v>575</v>
      </c>
      <c r="C15" t="str">
        <f>_xlfn.XLOOKUP(A15,Merging2!A:A,Merging2!C:C," ",)</f>
        <v>Turkey</v>
      </c>
      <c r="D15" t="str">
        <f t="shared" si="0"/>
        <v>Turkey</v>
      </c>
    </row>
    <row r="16" spans="1:4">
      <c r="A16" s="2" t="s">
        <v>401</v>
      </c>
      <c r="B16" s="2">
        <v>574</v>
      </c>
      <c r="C16" t="str">
        <f>_xlfn.XLOOKUP(A16,Merging2!A:A,Merging2!C:C," ",)</f>
        <v>HTS: Hayat Tahrir al-Sham</v>
      </c>
      <c r="D16" t="str">
        <f t="shared" si="0"/>
        <v>HTS: Hayat Tahrir al-Sham</v>
      </c>
    </row>
    <row r="17" spans="1:4">
      <c r="A17" s="2" t="s">
        <v>402</v>
      </c>
      <c r="B17" s="2">
        <v>546</v>
      </c>
      <c r="C17" t="str">
        <f>_xlfn.XLOOKUP(A17,Merging2!A:A,Merging2!C:C," ",)</f>
        <v>x</v>
      </c>
      <c r="D17" t="str">
        <f t="shared" si="0"/>
        <v>x</v>
      </c>
    </row>
    <row r="18" spans="1:4">
      <c r="A18" s="2" t="s">
        <v>57</v>
      </c>
      <c r="B18" s="2">
        <v>529</v>
      </c>
      <c r="C18" t="str">
        <f>_xlfn.XLOOKUP(A18,Merging2!A:A,Merging2!C:C," ",)</f>
        <v>Hezbollah</v>
      </c>
      <c r="D18" t="str">
        <f t="shared" si="0"/>
        <v>Hezbollah</v>
      </c>
    </row>
    <row r="19" spans="1:4">
      <c r="A19" s="2" t="s">
        <v>403</v>
      </c>
      <c r="B19" s="2">
        <v>507</v>
      </c>
      <c r="C19" t="str">
        <f>_xlfn.XLOOKUP(A19,Merging2!A:A,Merging2!C:C," ",)</f>
        <v>Faylaq al-Rahman</v>
      </c>
      <c r="D19" t="str">
        <f t="shared" si="0"/>
        <v>Faylaq al-Rahman</v>
      </c>
    </row>
    <row r="20" spans="1:4">
      <c r="A20" s="2" t="s">
        <v>404</v>
      </c>
      <c r="B20" s="2">
        <v>427</v>
      </c>
      <c r="C20" t="str">
        <f>_xlfn.XLOOKUP(A20,Merging2!A:A,Merging2!C:C," ",)</f>
        <v>x</v>
      </c>
      <c r="D20" t="str">
        <f t="shared" si="0"/>
        <v>x</v>
      </c>
    </row>
    <row r="21" spans="1:4">
      <c r="A21" s="2" t="s">
        <v>405</v>
      </c>
      <c r="B21" s="2">
        <v>388</v>
      </c>
      <c r="C21" t="str">
        <f>_xlfn.XLOOKUP(A21,Merging2!A:A,Merging2!C:C," ",)</f>
        <v>Jaysh al-Islam</v>
      </c>
      <c r="D21" t="str">
        <f t="shared" si="0"/>
        <v>Jaysh al-Islam</v>
      </c>
    </row>
    <row r="22" spans="1:4">
      <c r="A22" s="2" t="s">
        <v>406</v>
      </c>
      <c r="B22" s="2">
        <v>371</v>
      </c>
      <c r="C22" t="str">
        <f>_xlfn.XLOOKUP(A22,Merging2!A:A,Merging2!C:C," ",)</f>
        <v>Iran</v>
      </c>
      <c r="D22" t="str">
        <f t="shared" si="0"/>
        <v>Iran</v>
      </c>
    </row>
    <row r="23" spans="1:4">
      <c r="A23" s="2" t="s">
        <v>407</v>
      </c>
      <c r="B23" s="2">
        <v>343</v>
      </c>
      <c r="C23" t="str">
        <f>_xlfn.XLOOKUP(A23,Merging2!A:A,Merging2!C:C," ",)</f>
        <v>x</v>
      </c>
      <c r="D23" t="str">
        <f t="shared" si="0"/>
        <v>x</v>
      </c>
    </row>
    <row r="24" spans="1:4">
      <c r="A24" s="2" t="s">
        <v>408</v>
      </c>
      <c r="B24" s="2">
        <v>328</v>
      </c>
      <c r="C24" t="str">
        <f>_xlfn.XLOOKUP(A24,Merging2!A:A,Merging2!C:C," ",)</f>
        <v>Free Syrian Army</v>
      </c>
      <c r="D24" t="str">
        <f t="shared" si="0"/>
        <v>Free Syrian Army</v>
      </c>
    </row>
    <row r="25" spans="1:4">
      <c r="A25" s="2" t="s">
        <v>409</v>
      </c>
      <c r="B25" s="2">
        <v>234</v>
      </c>
      <c r="C25" t="str">
        <f>_xlfn.XLOOKUP(A25,Merging2!A:A,Merging2!C:C," ",)</f>
        <v>Military Forces of Syria</v>
      </c>
      <c r="D25" t="str">
        <f t="shared" si="0"/>
        <v>Military Forces of Syria</v>
      </c>
    </row>
    <row r="26" spans="1:4">
      <c r="A26" s="2" t="s">
        <v>410</v>
      </c>
      <c r="B26" s="2">
        <v>226</v>
      </c>
      <c r="C26" t="str">
        <f>_xlfn.XLOOKUP(A26,Merging2!A:A,Merging2!C:C," ",)</f>
        <v>USA</v>
      </c>
      <c r="D26" t="str">
        <f t="shared" si="0"/>
        <v>USA</v>
      </c>
    </row>
    <row r="27" spans="1:4">
      <c r="A27" s="2" t="s">
        <v>411</v>
      </c>
      <c r="B27" s="2">
        <v>211</v>
      </c>
      <c r="C27" t="str">
        <f>_xlfn.XLOOKUP(A27,Merging2!A:A,Merging2!C:C," ",)</f>
        <v>Harakat Nour al-Din al-Zenki</v>
      </c>
      <c r="D27" t="str">
        <f t="shared" si="0"/>
        <v>Harakat Nour al-Din al-Zenki</v>
      </c>
    </row>
    <row r="28" spans="1:4">
      <c r="A28" s="2" t="s">
        <v>413</v>
      </c>
      <c r="B28" s="2">
        <v>209</v>
      </c>
      <c r="C28" t="str">
        <f>_xlfn.XLOOKUP(A28,Merging2!A:A,Merging2!C:C," ",)</f>
        <v>USA</v>
      </c>
      <c r="D28" t="str">
        <f t="shared" si="0"/>
        <v>USA</v>
      </c>
    </row>
    <row r="29" spans="1:4">
      <c r="A29" s="2" t="s">
        <v>414</v>
      </c>
      <c r="B29" s="2">
        <v>207</v>
      </c>
      <c r="C29" t="s">
        <v>573</v>
      </c>
      <c r="D29" t="str">
        <f t="shared" si="0"/>
        <v>x</v>
      </c>
    </row>
    <row r="30" spans="1:4">
      <c r="A30" s="2" t="s">
        <v>30</v>
      </c>
      <c r="B30" s="2">
        <v>201</v>
      </c>
      <c r="C30" t="str">
        <f>_xlfn.XLOOKUP(A30,Merging2!A:A,Merging2!C:C," ",)</f>
        <v>The Levantine Front</v>
      </c>
      <c r="D30" t="str">
        <f t="shared" si="0"/>
        <v>The Levantine Front</v>
      </c>
    </row>
    <row r="31" spans="1:4">
      <c r="A31" s="2" t="s">
        <v>17</v>
      </c>
      <c r="B31" s="2">
        <v>196</v>
      </c>
      <c r="C31" t="str">
        <f>_xlfn.XLOOKUP(A31,Merging2!A:A,Merging2!C:C," ",)</f>
        <v>Al Qaeda</v>
      </c>
      <c r="D31" t="str">
        <f t="shared" si="0"/>
        <v>Al Qaeda</v>
      </c>
    </row>
    <row r="32" spans="1:4">
      <c r="A32" s="2" t="s">
        <v>80</v>
      </c>
      <c r="B32" s="2">
        <v>185</v>
      </c>
      <c r="C32" t="str">
        <f>_xlfn.XLOOKUP(A32,Merging2!A:A,Merging2!C:C," ",)</f>
        <v>HTS: Hayat Tahrir al-Sham</v>
      </c>
      <c r="D32" t="str">
        <f t="shared" si="0"/>
        <v>HTS: Hayat Tahrir al-Sham</v>
      </c>
    </row>
    <row r="33" spans="1:4">
      <c r="A33" s="2" t="s">
        <v>54</v>
      </c>
      <c r="B33" s="2">
        <v>185</v>
      </c>
      <c r="C33" t="str">
        <f>_xlfn.XLOOKUP(A33,Merging2!A:A,Merging2!C:C," ",)</f>
        <v>Iran</v>
      </c>
      <c r="D33" t="str">
        <f t="shared" si="0"/>
        <v>Iran</v>
      </c>
    </row>
    <row r="34" spans="1:4">
      <c r="A34" s="2" t="s">
        <v>415</v>
      </c>
      <c r="B34" s="2">
        <v>166</v>
      </c>
      <c r="C34" t="str">
        <f>_xlfn.XLOOKUP(A34,Merging2!A:A,Merging2!C:C," ",)</f>
        <v>Ahrar al-Sham</v>
      </c>
      <c r="D34" t="str">
        <f t="shared" si="0"/>
        <v>Ahrar al-Sham</v>
      </c>
    </row>
    <row r="35" spans="1:4">
      <c r="A35" s="2" t="s">
        <v>416</v>
      </c>
      <c r="B35" s="2">
        <v>165</v>
      </c>
      <c r="C35" t="str">
        <f>_xlfn.XLOOKUP(A35,Merging2!A:A,Merging2!C:C," ",)</f>
        <v>Iran</v>
      </c>
      <c r="D35" t="str">
        <f t="shared" si="0"/>
        <v>Iran</v>
      </c>
    </row>
    <row r="36" spans="1:4">
      <c r="A36" s="2" t="s">
        <v>417</v>
      </c>
      <c r="B36" s="2">
        <v>157</v>
      </c>
      <c r="C36" t="str">
        <f>_xlfn.XLOOKUP(A36,Merging2!A:A,Merging2!C:C," ",)</f>
        <v>Syrian Democratic Forces</v>
      </c>
      <c r="D36" t="str">
        <f t="shared" si="0"/>
        <v>Syrian Democratic Forces</v>
      </c>
    </row>
    <row r="37" spans="1:4">
      <c r="A37" s="2" t="s">
        <v>27</v>
      </c>
      <c r="B37" s="2">
        <v>156</v>
      </c>
      <c r="C37" t="str">
        <f>_xlfn.XLOOKUP(A37,Merging2!A:A,Merging2!C:C," ",)</f>
        <v>The Southern Front</v>
      </c>
      <c r="D37" t="str">
        <f t="shared" si="0"/>
        <v>The Southern Front</v>
      </c>
    </row>
    <row r="38" spans="1:4">
      <c r="A38" s="2" t="s">
        <v>418</v>
      </c>
      <c r="B38" s="2">
        <v>152</v>
      </c>
      <c r="C38" t="str">
        <f>_xlfn.XLOOKUP(A38,Merging2!A:A,Merging2!C:C," ",)</f>
        <v>Free Syrian Army</v>
      </c>
      <c r="D38" t="str">
        <f t="shared" si="0"/>
        <v>Free Syrian Army</v>
      </c>
    </row>
    <row r="39" spans="1:4">
      <c r="A39" s="2" t="s">
        <v>419</v>
      </c>
      <c r="B39" s="2">
        <v>149</v>
      </c>
      <c r="C39" t="str">
        <f>_xlfn.XLOOKUP(A39,Merging2!A:A,Merging2!C:C," ",)</f>
        <v>Syrian Democratic Forces</v>
      </c>
      <c r="D39" t="str">
        <f t="shared" si="0"/>
        <v>Syrian Democratic Forces</v>
      </c>
    </row>
    <row r="40" spans="1:4">
      <c r="A40" s="2" t="s">
        <v>420</v>
      </c>
      <c r="B40" s="2">
        <v>119</v>
      </c>
      <c r="C40" t="str">
        <f>_xlfn.XLOOKUP(A40,Merging2!A:A,Merging2!C:C," ",)</f>
        <v>x</v>
      </c>
      <c r="D40" t="str">
        <f t="shared" si="0"/>
        <v>x</v>
      </c>
    </row>
    <row r="41" spans="1:4">
      <c r="A41" s="2" t="s">
        <v>421</v>
      </c>
      <c r="B41" s="2">
        <v>116</v>
      </c>
      <c r="C41" t="s">
        <v>70</v>
      </c>
      <c r="D41" t="str">
        <f t="shared" si="0"/>
        <v>Military Forces of Syria</v>
      </c>
    </row>
    <row r="42" spans="1:4">
      <c r="A42" s="2" t="s">
        <v>422</v>
      </c>
      <c r="B42" s="2">
        <v>105</v>
      </c>
      <c r="C42" t="s">
        <v>70</v>
      </c>
      <c r="D42" t="str">
        <f t="shared" si="0"/>
        <v>Military Forces of Syria</v>
      </c>
    </row>
    <row r="43" spans="1:4">
      <c r="A43" s="2" t="s">
        <v>423</v>
      </c>
      <c r="B43" s="2">
        <v>94</v>
      </c>
      <c r="C43" t="s">
        <v>424</v>
      </c>
      <c r="D43" t="str">
        <f t="shared" si="0"/>
        <v>UK</v>
      </c>
    </row>
    <row r="44" spans="1:4">
      <c r="A44" s="2" t="s">
        <v>425</v>
      </c>
      <c r="B44" s="2">
        <v>92</v>
      </c>
      <c r="C44" t="str">
        <f>_xlfn.XLOOKUP(A44,Merging2!A:A,Merging2!C:C," ",)</f>
        <v>x</v>
      </c>
      <c r="D44" t="str">
        <f t="shared" si="0"/>
        <v>x</v>
      </c>
    </row>
    <row r="45" spans="1:4">
      <c r="A45" s="2" t="s">
        <v>426</v>
      </c>
      <c r="B45" s="2">
        <v>87</v>
      </c>
      <c r="C45" t="str">
        <f>_xlfn.XLOOKUP(A45,Merging2!A:A,Merging2!C:C," ",)</f>
        <v>Free Syrian Army</v>
      </c>
      <c r="D45" t="str">
        <f t="shared" si="0"/>
        <v>Free Syrian Army</v>
      </c>
    </row>
    <row r="46" spans="1:4">
      <c r="A46" s="2" t="s">
        <v>427</v>
      </c>
      <c r="B46" s="2">
        <v>84</v>
      </c>
      <c r="C46" t="str">
        <f>_xlfn.XLOOKUP(A46,Merging2!A:A,Merging2!C:C," ",)</f>
        <v>x</v>
      </c>
      <c r="D46" t="str">
        <f t="shared" si="0"/>
        <v>x</v>
      </c>
    </row>
    <row r="47" spans="1:4">
      <c r="A47" s="2" t="s">
        <v>428</v>
      </c>
      <c r="B47" s="2">
        <v>84</v>
      </c>
      <c r="C47" t="str">
        <f>_xlfn.XLOOKUP(A47,Merging2!A:A,Merging2!C:C," ",)</f>
        <v>x</v>
      </c>
      <c r="D47" t="str">
        <f t="shared" si="0"/>
        <v>x</v>
      </c>
    </row>
    <row r="48" spans="1:4">
      <c r="A48" s="2" t="s">
        <v>429</v>
      </c>
      <c r="B48" s="2">
        <v>83</v>
      </c>
      <c r="C48" t="str">
        <f>_xlfn.XLOOKUP(A48,Merging2!A:A,Merging2!C:C," ",)</f>
        <v>Al Qaeda</v>
      </c>
      <c r="D48" t="str">
        <f t="shared" si="0"/>
        <v>Al Qaeda</v>
      </c>
    </row>
    <row r="49" spans="1:4">
      <c r="A49" s="2" t="s">
        <v>195</v>
      </c>
      <c r="B49" s="2">
        <v>82</v>
      </c>
      <c r="C49" t="str">
        <f>_xlfn.XLOOKUP(A49,Merging2!A:A,Merging2!C:C," ",)</f>
        <v>JTS: Syria Liberation Front</v>
      </c>
      <c r="D49" t="str">
        <f t="shared" si="0"/>
        <v>JTS: Syria Liberation Front</v>
      </c>
    </row>
    <row r="50" spans="1:4">
      <c r="A50" s="2" t="s">
        <v>430</v>
      </c>
      <c r="B50" s="2">
        <v>79</v>
      </c>
      <c r="C50" t="str">
        <f>_xlfn.XLOOKUP(A50,Merging2!A:A,Merging2!C:C," ",)</f>
        <v>The Southern Front</v>
      </c>
      <c r="D50" t="str">
        <f t="shared" si="0"/>
        <v>The Southern Front</v>
      </c>
    </row>
    <row r="51" spans="1:4">
      <c r="A51" s="2" t="s">
        <v>186</v>
      </c>
      <c r="B51" s="2">
        <v>75</v>
      </c>
      <c r="C51" t="str">
        <f>_xlfn.XLOOKUP(A51,Merging2!A:A,Merging2!C:C," ",)</f>
        <v>x</v>
      </c>
      <c r="D51" t="str">
        <f t="shared" si="0"/>
        <v>x</v>
      </c>
    </row>
    <row r="52" spans="1:4">
      <c r="A52" s="2" t="s">
        <v>431</v>
      </c>
      <c r="B52" s="2">
        <v>63</v>
      </c>
      <c r="C52" t="str">
        <f>_xlfn.XLOOKUP(A52,Merging2!A:A,Merging2!C:C," ",)</f>
        <v>Peoples Protection Units</v>
      </c>
      <c r="D52" t="str">
        <f t="shared" si="0"/>
        <v>Peoples Protection Units</v>
      </c>
    </row>
    <row r="53" spans="1:4">
      <c r="A53" s="2" t="s">
        <v>433</v>
      </c>
      <c r="B53" s="2">
        <v>61</v>
      </c>
      <c r="C53" t="str">
        <f>_xlfn.XLOOKUP(A53,Merging2!A:A,Merging2!C:C," ",)</f>
        <v>Syrian Democratic Forces</v>
      </c>
      <c r="D53" t="str">
        <f t="shared" si="0"/>
        <v>Syrian Democratic Forces</v>
      </c>
    </row>
    <row r="54" spans="1:4">
      <c r="A54" s="2" t="s">
        <v>434</v>
      </c>
      <c r="B54" s="2">
        <v>59</v>
      </c>
      <c r="C54" t="str">
        <f>_xlfn.XLOOKUP(A54,Merging2!A:A,Merging2!C:C," ",)</f>
        <v>x</v>
      </c>
      <c r="D54" t="str">
        <f t="shared" si="0"/>
        <v>x</v>
      </c>
    </row>
    <row r="55" spans="1:4">
      <c r="A55" s="2" t="s">
        <v>435</v>
      </c>
      <c r="B55" s="2">
        <v>58</v>
      </c>
      <c r="C55" t="str">
        <f>_xlfn.XLOOKUP(A55,Merging2!A:A,Merging2!C:C," ",)</f>
        <v>HTS: Hayat Tahrir al-Sham</v>
      </c>
      <c r="D55" t="str">
        <f t="shared" si="0"/>
        <v>HTS: Hayat Tahrir al-Sham</v>
      </c>
    </row>
    <row r="56" spans="1:4">
      <c r="A56" s="2" t="s">
        <v>436</v>
      </c>
      <c r="B56" s="2">
        <v>53</v>
      </c>
      <c r="C56" t="str">
        <f>_xlfn.XLOOKUP(A56,Merging2!A:A,Merging2!C:C," ",)</f>
        <v>x</v>
      </c>
      <c r="D56" t="str">
        <f t="shared" si="0"/>
        <v>x</v>
      </c>
    </row>
    <row r="57" spans="1:4">
      <c r="A57" s="2" t="s">
        <v>437</v>
      </c>
      <c r="B57" s="2">
        <v>47</v>
      </c>
      <c r="C57" t="str">
        <f>_xlfn.XLOOKUP(A57,Merging2!A:A,Merging2!C:C," ",)</f>
        <v>Free Syrian Army</v>
      </c>
      <c r="D57" t="str">
        <f t="shared" si="0"/>
        <v>Free Syrian Army</v>
      </c>
    </row>
    <row r="58" spans="1:4">
      <c r="A58" s="2" t="s">
        <v>438</v>
      </c>
      <c r="B58" s="2">
        <v>47</v>
      </c>
      <c r="C58" t="str">
        <f>_xlfn.XLOOKUP(A58,Merging2!A:A,Merging2!C:C," ",)</f>
        <v>x</v>
      </c>
      <c r="D58" t="str">
        <f t="shared" si="0"/>
        <v>x</v>
      </c>
    </row>
    <row r="59" spans="1:4">
      <c r="A59" s="2" t="s">
        <v>439</v>
      </c>
      <c r="B59" s="2">
        <v>46</v>
      </c>
      <c r="C59" t="str">
        <f>_xlfn.XLOOKUP(A59,Merging2!A:A,Merging2!C:C," ",)</f>
        <v>x</v>
      </c>
      <c r="D59" t="str">
        <f t="shared" si="0"/>
        <v>x</v>
      </c>
    </row>
    <row r="60" spans="1:4">
      <c r="A60" s="2" t="s">
        <v>440</v>
      </c>
      <c r="B60" s="2">
        <v>46</v>
      </c>
      <c r="C60" t="str">
        <f>_xlfn.XLOOKUP(A60,Merging2!A:A,Merging2!C:C," ",)</f>
        <v>x</v>
      </c>
      <c r="D60" t="str">
        <f t="shared" si="0"/>
        <v>x</v>
      </c>
    </row>
    <row r="61" spans="1:4">
      <c r="A61" s="2" t="s">
        <v>441</v>
      </c>
      <c r="B61" s="2">
        <v>45</v>
      </c>
      <c r="C61" t="str">
        <f>_xlfn.XLOOKUP(A61,Merging2!A:A,Merging2!C:C," ",)</f>
        <v>x</v>
      </c>
      <c r="D61" t="str">
        <f t="shared" si="0"/>
        <v>x</v>
      </c>
    </row>
    <row r="62" spans="1:4">
      <c r="A62" s="2" t="s">
        <v>368</v>
      </c>
      <c r="B62" s="2">
        <v>42</v>
      </c>
      <c r="C62" t="str">
        <f>_xlfn.XLOOKUP(A62,Merging2!A:A,Merging2!C:C," ",)</f>
        <v>Military Forces of Syria</v>
      </c>
      <c r="D62" t="str">
        <f t="shared" si="0"/>
        <v>Military Forces of Syria</v>
      </c>
    </row>
    <row r="63" spans="1:4">
      <c r="A63" s="2" t="s">
        <v>442</v>
      </c>
      <c r="B63" s="2">
        <v>40</v>
      </c>
      <c r="C63" t="str">
        <f>_xlfn.XLOOKUP(A63,Merging2!A:A,Merging2!C:C," ",)</f>
        <v>Free Syrian Army</v>
      </c>
      <c r="D63" t="str">
        <f t="shared" si="0"/>
        <v>Free Syrian Army</v>
      </c>
    </row>
    <row r="64" spans="1:4">
      <c r="A64" s="2" t="s">
        <v>443</v>
      </c>
      <c r="B64" s="2">
        <v>39</v>
      </c>
      <c r="C64" t="str">
        <f>_xlfn.XLOOKUP(A64,Merging2!A:A,Merging2!C:C," ",)</f>
        <v>x</v>
      </c>
      <c r="D64" t="str">
        <f t="shared" si="0"/>
        <v>x</v>
      </c>
    </row>
    <row r="65" spans="1:4">
      <c r="A65" s="2" t="s">
        <v>444</v>
      </c>
      <c r="B65" s="2">
        <v>39</v>
      </c>
      <c r="C65" t="str">
        <f>_xlfn.XLOOKUP(A65,Merging2!A:A,Merging2!C:C," ",)</f>
        <v>Syrian Democratic Forces</v>
      </c>
      <c r="D65" t="str">
        <f t="shared" si="0"/>
        <v>Syrian Democratic Forces</v>
      </c>
    </row>
    <row r="66" spans="1:4">
      <c r="A66" s="2" t="s">
        <v>445</v>
      </c>
      <c r="B66" s="2">
        <v>36</v>
      </c>
      <c r="C66" t="s">
        <v>27</v>
      </c>
      <c r="D66" t="str">
        <f t="shared" si="0"/>
        <v>The Southern Front</v>
      </c>
    </row>
    <row r="67" spans="1:4">
      <c r="A67" s="2" t="s">
        <v>446</v>
      </c>
      <c r="B67" s="2">
        <v>36</v>
      </c>
      <c r="C67" t="str">
        <f>_xlfn.XLOOKUP(A67,Merging2!A:A,Merging2!C:C," ",)</f>
        <v>x</v>
      </c>
      <c r="D67" t="str">
        <f t="shared" ref="D67:D130" si="1">IF(C67&lt;&gt;0,C67,"")</f>
        <v>x</v>
      </c>
    </row>
    <row r="68" spans="1:4">
      <c r="A68" s="2" t="s">
        <v>447</v>
      </c>
      <c r="B68" s="2">
        <v>36</v>
      </c>
      <c r="C68" t="str">
        <f>_xlfn.XLOOKUP(A68,Merging2!A:A,Merging2!C:C," ",)</f>
        <v>Syrian Democratic Forces</v>
      </c>
      <c r="D68" t="str">
        <f t="shared" si="1"/>
        <v>Syrian Democratic Forces</v>
      </c>
    </row>
    <row r="69" spans="1:4">
      <c r="A69" s="2" t="s">
        <v>448</v>
      </c>
      <c r="B69" s="2">
        <v>34</v>
      </c>
      <c r="C69" t="str">
        <f>_xlfn.XLOOKUP(A69,Merging2!A:A,Merging2!C:C," ",)</f>
        <v>Free Syrian Army</v>
      </c>
      <c r="D69" t="str">
        <f t="shared" si="1"/>
        <v>Free Syrian Army</v>
      </c>
    </row>
    <row r="70" spans="1:4">
      <c r="A70" s="2" t="s">
        <v>449</v>
      </c>
      <c r="B70" s="2">
        <v>32</v>
      </c>
      <c r="C70" t="s">
        <v>63</v>
      </c>
      <c r="D70" t="str">
        <f t="shared" si="1"/>
        <v>USA</v>
      </c>
    </row>
    <row r="71" spans="1:4">
      <c r="A71" s="2" t="s">
        <v>450</v>
      </c>
      <c r="B71" s="2">
        <v>31</v>
      </c>
      <c r="C71" t="s">
        <v>392</v>
      </c>
      <c r="D71" t="str">
        <f t="shared" si="1"/>
        <v>The Islamic State</v>
      </c>
    </row>
    <row r="72" spans="1:4">
      <c r="A72" s="2" t="s">
        <v>451</v>
      </c>
      <c r="B72" s="2">
        <v>30</v>
      </c>
      <c r="C72" t="str">
        <f>_xlfn.XLOOKUP(A72,Merging2!A:A,Merging2!C:C," ",)</f>
        <v>x</v>
      </c>
      <c r="D72" t="str">
        <f t="shared" si="1"/>
        <v>x</v>
      </c>
    </row>
    <row r="73" spans="1:4">
      <c r="A73" s="2" t="s">
        <v>452</v>
      </c>
      <c r="B73" s="2">
        <v>30</v>
      </c>
      <c r="C73" t="str">
        <f>_xlfn.XLOOKUP(A73,Merging2!A:A,Merging2!C:C," ",)</f>
        <v>Turkey</v>
      </c>
      <c r="D73" t="str">
        <f t="shared" si="1"/>
        <v>Turkey</v>
      </c>
    </row>
    <row r="74" spans="1:4">
      <c r="A74" s="2" t="s">
        <v>453</v>
      </c>
      <c r="B74" s="2">
        <v>28</v>
      </c>
      <c r="C74" t="str">
        <f>_xlfn.XLOOKUP(A74,Merging2!A:A,Merging2!C:C," ",)</f>
        <v>Iran</v>
      </c>
      <c r="D74" t="str">
        <f t="shared" si="1"/>
        <v>Iran</v>
      </c>
    </row>
    <row r="75" spans="1:4">
      <c r="A75" s="2" t="s">
        <v>454</v>
      </c>
      <c r="B75" s="2">
        <v>27</v>
      </c>
      <c r="C75" t="s">
        <v>70</v>
      </c>
      <c r="D75" t="str">
        <f t="shared" si="1"/>
        <v>Military Forces of Syria</v>
      </c>
    </row>
    <row r="76" spans="1:4">
      <c r="A76" s="2" t="s">
        <v>455</v>
      </c>
      <c r="B76" s="2">
        <v>25</v>
      </c>
      <c r="C76" t="str">
        <f>_xlfn.XLOOKUP(A76,Merging2!A:A,Merging2!C:C," ",)</f>
        <v>x</v>
      </c>
      <c r="D76" t="str">
        <f t="shared" si="1"/>
        <v>x</v>
      </c>
    </row>
    <row r="77" spans="1:4">
      <c r="A77" s="2" t="s">
        <v>456</v>
      </c>
      <c r="B77" s="2">
        <v>25</v>
      </c>
      <c r="C77" t="str">
        <f>_xlfn.XLOOKUP(A77,Merging2!A:A,Merging2!C:C," ",)</f>
        <v>x</v>
      </c>
      <c r="D77" t="str">
        <f t="shared" si="1"/>
        <v>x</v>
      </c>
    </row>
    <row r="78" spans="1:4">
      <c r="A78" s="2" t="s">
        <v>457</v>
      </c>
      <c r="B78" s="2">
        <v>24</v>
      </c>
      <c r="C78" t="str">
        <f>_xlfn.XLOOKUP(A78,Merging2!A:A,Merging2!C:C," ",)</f>
        <v>x</v>
      </c>
      <c r="D78" t="str">
        <f t="shared" si="1"/>
        <v>x</v>
      </c>
    </row>
    <row r="79" spans="1:4">
      <c r="A79" s="2" t="s">
        <v>458</v>
      </c>
      <c r="B79" s="2">
        <v>24</v>
      </c>
      <c r="C79" t="str">
        <f>_xlfn.XLOOKUP(A79,Merging2!A:A,Merging2!C:C," ",)</f>
        <v>x</v>
      </c>
      <c r="D79" t="str">
        <f t="shared" si="1"/>
        <v>x</v>
      </c>
    </row>
    <row r="80" spans="1:4">
      <c r="A80" s="2" t="s">
        <v>459</v>
      </c>
      <c r="B80" s="2">
        <v>24</v>
      </c>
      <c r="C80" t="str">
        <f>_xlfn.XLOOKUP(A80,Merging2!A:A,Merging2!C:C," ",)</f>
        <v>x</v>
      </c>
      <c r="D80" t="str">
        <f t="shared" si="1"/>
        <v>x</v>
      </c>
    </row>
    <row r="81" spans="1:4">
      <c r="A81" s="2" t="s">
        <v>460</v>
      </c>
      <c r="B81" s="2">
        <v>23</v>
      </c>
      <c r="C81" t="s">
        <v>70</v>
      </c>
      <c r="D81" t="str">
        <f t="shared" si="1"/>
        <v>Military Forces of Syria</v>
      </c>
    </row>
    <row r="82" spans="1:4">
      <c r="A82" s="2" t="s">
        <v>461</v>
      </c>
      <c r="B82" s="2">
        <v>23</v>
      </c>
      <c r="C82" t="str">
        <f>_xlfn.XLOOKUP(A82,Merging2!A:A,Merging2!C:C," ",0)</f>
        <v>The Levantine Front</v>
      </c>
      <c r="D82" t="str">
        <f t="shared" si="1"/>
        <v>The Levantine Front</v>
      </c>
    </row>
    <row r="83" spans="1:4">
      <c r="A83" s="2" t="s">
        <v>462</v>
      </c>
      <c r="B83" s="2">
        <v>23</v>
      </c>
      <c r="C83" t="str">
        <f>_xlfn.XLOOKUP(A83,Merging2!A:A,Merging2!C:C," ",)</f>
        <v>Israel</v>
      </c>
      <c r="D83" t="str">
        <f t="shared" si="1"/>
        <v>Israel</v>
      </c>
    </row>
    <row r="84" spans="1:4">
      <c r="A84" s="2" t="s">
        <v>463</v>
      </c>
      <c r="B84" s="2">
        <v>23</v>
      </c>
      <c r="C84" t="str">
        <f>_xlfn.XLOOKUP(A84,Merging2!A:A,Merging2!C:C," ",)</f>
        <v>Free Syrian Army</v>
      </c>
      <c r="D84" t="str">
        <f t="shared" si="1"/>
        <v>Free Syrian Army</v>
      </c>
    </row>
    <row r="85" spans="1:4">
      <c r="A85" s="2" t="s">
        <v>464</v>
      </c>
      <c r="B85" s="2">
        <v>22</v>
      </c>
      <c r="C85" t="s">
        <v>70</v>
      </c>
      <c r="D85" t="str">
        <f t="shared" si="1"/>
        <v>Military Forces of Syria</v>
      </c>
    </row>
    <row r="86" spans="1:4">
      <c r="A86" s="2" t="s">
        <v>465</v>
      </c>
      <c r="B86" s="2">
        <v>22</v>
      </c>
      <c r="C86" t="str">
        <f>_xlfn.XLOOKUP(A86,Merging2!A:A,Merging2!C:C," ",)</f>
        <v>The Levantine Front</v>
      </c>
      <c r="D86" t="str">
        <f t="shared" si="1"/>
        <v>The Levantine Front</v>
      </c>
    </row>
    <row r="87" spans="1:4">
      <c r="A87" s="2" t="s">
        <v>466</v>
      </c>
      <c r="B87" s="2">
        <v>22</v>
      </c>
      <c r="C87" t="str">
        <f>_xlfn.XLOOKUP(A87,Merging2!A:A,Merging2!C:C," ",)</f>
        <v>x</v>
      </c>
      <c r="D87" t="str">
        <f t="shared" si="1"/>
        <v>x</v>
      </c>
    </row>
    <row r="88" spans="1:4">
      <c r="A88" s="2" t="s">
        <v>467</v>
      </c>
      <c r="B88" s="2">
        <v>22</v>
      </c>
      <c r="C88" t="str">
        <f>_xlfn.XLOOKUP(A88,Merging2!A:A,Merging2!C:C," ",)</f>
        <v>Al Qaeda</v>
      </c>
      <c r="D88" t="str">
        <f t="shared" si="1"/>
        <v>Al Qaeda</v>
      </c>
    </row>
    <row r="89" spans="1:4">
      <c r="A89" s="2" t="s">
        <v>468</v>
      </c>
      <c r="B89" s="2">
        <v>21</v>
      </c>
      <c r="C89" t="str">
        <f>_xlfn.XLOOKUP(A89,Merging2!A:A,Merging2!C:C," ",)</f>
        <v>Syrian Democratic Forces</v>
      </c>
      <c r="D89" t="str">
        <f t="shared" si="1"/>
        <v>Syrian Democratic Forces</v>
      </c>
    </row>
    <row r="90" spans="1:4">
      <c r="A90" s="2" t="s">
        <v>469</v>
      </c>
      <c r="B90" s="2">
        <v>21</v>
      </c>
      <c r="C90" t="str">
        <f>_xlfn.XLOOKUP(A90,Merging2!A:A,Merging2!C:C," ",)</f>
        <v>x</v>
      </c>
      <c r="D90" t="str">
        <f t="shared" si="1"/>
        <v>x</v>
      </c>
    </row>
    <row r="91" spans="1:4">
      <c r="A91" s="2" t="s">
        <v>470</v>
      </c>
      <c r="B91" s="2">
        <v>20</v>
      </c>
      <c r="C91">
        <f>_xlfn.XLOOKUP(A91,Merging2!A:A,Merging2!C:C," ",)</f>
        <v>0</v>
      </c>
      <c r="D91" t="str">
        <f t="shared" si="1"/>
        <v/>
      </c>
    </row>
    <row r="92" spans="1:4">
      <c r="A92" s="2" t="s">
        <v>106</v>
      </c>
      <c r="B92" s="2">
        <v>18</v>
      </c>
      <c r="C92" t="s">
        <v>106</v>
      </c>
      <c r="D92" t="str">
        <f t="shared" si="1"/>
        <v>Mujahideen Army</v>
      </c>
    </row>
    <row r="93" spans="1:4">
      <c r="A93" s="2" t="s">
        <v>143</v>
      </c>
      <c r="B93" s="2">
        <v>18</v>
      </c>
      <c r="C93">
        <f>_xlfn.XLOOKUP(A93,Merging2!A:A,Merging2!C:C," ",)</f>
        <v>0</v>
      </c>
      <c r="D93" t="str">
        <f t="shared" si="1"/>
        <v/>
      </c>
    </row>
    <row r="94" spans="1:4">
      <c r="A94" s="2" t="s">
        <v>472</v>
      </c>
      <c r="B94" s="2">
        <v>17</v>
      </c>
      <c r="C94" t="str">
        <f>_xlfn.XLOOKUP(A94,Merging2!A:A,Merging2!C:C," ",)</f>
        <v>x</v>
      </c>
      <c r="D94" t="str">
        <f t="shared" si="1"/>
        <v>x</v>
      </c>
    </row>
    <row r="95" spans="1:4">
      <c r="A95" s="2" t="s">
        <v>473</v>
      </c>
      <c r="B95" s="2">
        <v>17</v>
      </c>
      <c r="C95">
        <f>_xlfn.XLOOKUP(A95,Merging2!A:A,Merging2!C:C," ",)</f>
        <v>0</v>
      </c>
      <c r="D95" t="str">
        <f t="shared" si="1"/>
        <v/>
      </c>
    </row>
    <row r="96" spans="1:4">
      <c r="A96" s="2" t="s">
        <v>474</v>
      </c>
      <c r="B96" s="2">
        <v>17</v>
      </c>
      <c r="C96" t="str">
        <f>_xlfn.XLOOKUP(A96,Merging2!A:A,Merging2!C:C," ",)</f>
        <v>Turkey</v>
      </c>
      <c r="D96" t="str">
        <f t="shared" si="1"/>
        <v>Turkey</v>
      </c>
    </row>
    <row r="97" spans="1:4">
      <c r="A97" s="2" t="s">
        <v>475</v>
      </c>
      <c r="B97" s="2">
        <v>16</v>
      </c>
      <c r="C97">
        <f>_xlfn.XLOOKUP(A97,Merging2!A:A,Merging2!C:C," ",)</f>
        <v>0</v>
      </c>
      <c r="D97" t="str">
        <f t="shared" si="1"/>
        <v/>
      </c>
    </row>
    <row r="98" spans="1:4">
      <c r="A98" s="2" t="s">
        <v>476</v>
      </c>
      <c r="B98" s="2">
        <v>16</v>
      </c>
      <c r="C98" t="str">
        <f>_xlfn.XLOOKUP(A98,Merging2!A:A,Merging2!C:C," ",)</f>
        <v>x</v>
      </c>
      <c r="D98" t="str">
        <f t="shared" si="1"/>
        <v>x</v>
      </c>
    </row>
    <row r="99" spans="1:4">
      <c r="A99" s="2" t="s">
        <v>477</v>
      </c>
      <c r="B99" s="2">
        <v>16</v>
      </c>
      <c r="C99" t="str">
        <f>_xlfn.XLOOKUP(A99,Merging2!A:A,Merging2!C:C," ",)</f>
        <v>x</v>
      </c>
      <c r="D99" t="str">
        <f t="shared" si="1"/>
        <v>x</v>
      </c>
    </row>
    <row r="100" spans="1:4">
      <c r="A100" s="2" t="s">
        <v>478</v>
      </c>
      <c r="B100" s="2">
        <v>15</v>
      </c>
      <c r="C100" t="str">
        <f>_xlfn.XLOOKUP(A100,Merging2!A:A,Merging2!C:C," ",)</f>
        <v>x</v>
      </c>
      <c r="D100" t="str">
        <f t="shared" si="1"/>
        <v>x</v>
      </c>
    </row>
    <row r="101" spans="1:4">
      <c r="A101" s="2" t="s">
        <v>479</v>
      </c>
      <c r="B101" s="2">
        <v>15</v>
      </c>
      <c r="C101">
        <f>_xlfn.XLOOKUP(A101,Merging2!A:A,Merging2!C:C," ",)</f>
        <v>0</v>
      </c>
      <c r="D101" t="str">
        <f t="shared" si="1"/>
        <v/>
      </c>
    </row>
    <row r="102" spans="1:4">
      <c r="A102" s="2" t="s">
        <v>480</v>
      </c>
      <c r="B102" s="2">
        <v>14</v>
      </c>
      <c r="C102">
        <f>_xlfn.XLOOKUP(A102,Merging2!A:A,Merging2!C:C," ",)</f>
        <v>0</v>
      </c>
      <c r="D102" t="str">
        <f t="shared" si="1"/>
        <v/>
      </c>
    </row>
    <row r="103" spans="1:4">
      <c r="A103" s="2" t="s">
        <v>481</v>
      </c>
      <c r="B103" s="2">
        <v>14</v>
      </c>
      <c r="C103" t="str">
        <f>_xlfn.XLOOKUP(A103,Merging2!A:A,Merging2!C:C," ",)</f>
        <v>x</v>
      </c>
      <c r="D103" t="str">
        <f t="shared" si="1"/>
        <v>x</v>
      </c>
    </row>
    <row r="104" spans="1:4">
      <c r="A104" s="2" t="s">
        <v>482</v>
      </c>
      <c r="B104" s="2">
        <v>14</v>
      </c>
      <c r="C104">
        <f>_xlfn.XLOOKUP(A104,Merging2!A:A,Merging2!C:C," ",)</f>
        <v>0</v>
      </c>
      <c r="D104" t="str">
        <f t="shared" si="1"/>
        <v/>
      </c>
    </row>
    <row r="105" spans="1:4">
      <c r="A105" s="2" t="s">
        <v>483</v>
      </c>
      <c r="B105" s="2">
        <v>14</v>
      </c>
      <c r="C105" t="str">
        <f>_xlfn.XLOOKUP(A105,Merging2!A:A,Merging2!C:C," ",)</f>
        <v>x</v>
      </c>
      <c r="D105" t="str">
        <f t="shared" si="1"/>
        <v>x</v>
      </c>
    </row>
    <row r="106" spans="1:4">
      <c r="A106" s="2" t="s">
        <v>484</v>
      </c>
      <c r="B106" s="2">
        <v>14</v>
      </c>
      <c r="C106">
        <f>_xlfn.XLOOKUP(A106,Merging2!A:A,Merging2!C:C," ",)</f>
        <v>0</v>
      </c>
      <c r="D106" t="str">
        <f t="shared" si="1"/>
        <v/>
      </c>
    </row>
    <row r="107" spans="1:4">
      <c r="A107" s="2" t="s">
        <v>485</v>
      </c>
      <c r="B107" s="2">
        <v>13</v>
      </c>
      <c r="C107" t="str">
        <f>_xlfn.XLOOKUP(A107,Merging2!A:A,Merging2!C:C," ",)</f>
        <v>x</v>
      </c>
      <c r="D107" t="str">
        <f t="shared" si="1"/>
        <v>x</v>
      </c>
    </row>
    <row r="108" spans="1:4">
      <c r="A108" s="2" t="s">
        <v>486</v>
      </c>
      <c r="B108" s="2">
        <v>13</v>
      </c>
      <c r="C108">
        <f>_xlfn.XLOOKUP(A108,Merging2!A:A,Merging2!C:C," ",)</f>
        <v>0</v>
      </c>
      <c r="D108" t="str">
        <f t="shared" si="1"/>
        <v/>
      </c>
    </row>
    <row r="109" spans="1:4">
      <c r="A109" s="2" t="s">
        <v>487</v>
      </c>
      <c r="B109" s="2">
        <v>13</v>
      </c>
      <c r="C109">
        <f>_xlfn.XLOOKUP(A109,Merging2!A:A,Merging2!C:C," ",)</f>
        <v>0</v>
      </c>
      <c r="D109" t="str">
        <f t="shared" si="1"/>
        <v/>
      </c>
    </row>
    <row r="110" spans="1:4">
      <c r="A110" s="2" t="s">
        <v>488</v>
      </c>
      <c r="B110" s="2">
        <v>12</v>
      </c>
      <c r="C110" t="str">
        <f>_xlfn.XLOOKUP(A110,Merging2!A:A,Merging2!C:C," ",)</f>
        <v>Popular Mobilization Forces</v>
      </c>
      <c r="D110" t="str">
        <f t="shared" si="1"/>
        <v>Popular Mobilization Forces</v>
      </c>
    </row>
    <row r="111" spans="1:4">
      <c r="A111" s="2" t="s">
        <v>489</v>
      </c>
      <c r="B111" s="2">
        <v>12</v>
      </c>
      <c r="C111" t="str">
        <f>_xlfn.XLOOKUP(A111,Merging2!A:A,Merging2!C:C," ",)</f>
        <v>Military Forces of Syria</v>
      </c>
      <c r="D111" t="str">
        <f t="shared" si="1"/>
        <v>Military Forces of Syria</v>
      </c>
    </row>
    <row r="112" spans="1:4">
      <c r="A112" s="2" t="s">
        <v>490</v>
      </c>
      <c r="B112" s="2">
        <v>12</v>
      </c>
      <c r="C112">
        <f>_xlfn.XLOOKUP(A112,Merging2!A:A,Merging2!C:C," ",)</f>
        <v>0</v>
      </c>
      <c r="D112" t="str">
        <f t="shared" si="1"/>
        <v/>
      </c>
    </row>
    <row r="113" spans="1:4">
      <c r="A113" s="2" t="s">
        <v>491</v>
      </c>
      <c r="B113" s="2">
        <v>11</v>
      </c>
      <c r="C113" t="str">
        <f>_xlfn.XLOOKUP(A113,Merging2!A:A,Merging2!C:C," ",)</f>
        <v>x</v>
      </c>
      <c r="D113" t="str">
        <f t="shared" si="1"/>
        <v>x</v>
      </c>
    </row>
    <row r="114" spans="1:4">
      <c r="A114" s="2" t="s">
        <v>492</v>
      </c>
      <c r="B114" s="2">
        <v>11</v>
      </c>
      <c r="C114">
        <f>_xlfn.XLOOKUP(A114,Merging2!A:A,Merging2!C:C," ",)</f>
        <v>0</v>
      </c>
      <c r="D114" t="str">
        <f t="shared" si="1"/>
        <v/>
      </c>
    </row>
    <row r="115" spans="1:4">
      <c r="A115" s="2" t="s">
        <v>493</v>
      </c>
      <c r="B115" s="2">
        <v>11</v>
      </c>
      <c r="C115" t="str">
        <f>_xlfn.XLOOKUP(A115,Merging2!A:A,Merging2!C:C," ",)</f>
        <v>Popular Mobilization Forces</v>
      </c>
      <c r="D115" t="str">
        <f t="shared" si="1"/>
        <v>Popular Mobilization Forces</v>
      </c>
    </row>
    <row r="116" spans="1:4">
      <c r="A116" s="2" t="s">
        <v>494</v>
      </c>
      <c r="B116" s="2">
        <v>11</v>
      </c>
      <c r="C116">
        <f>_xlfn.XLOOKUP(A116,Merging2!A:A,Merging2!C:C," ",)</f>
        <v>0</v>
      </c>
      <c r="D116" t="str">
        <f t="shared" si="1"/>
        <v/>
      </c>
    </row>
    <row r="117" spans="1:4">
      <c r="A117" s="2" t="s">
        <v>495</v>
      </c>
      <c r="B117" s="2">
        <v>11</v>
      </c>
      <c r="C117">
        <f>_xlfn.XLOOKUP(A117,Merging2!A:A,Merging2!C:C," ",)</f>
        <v>0</v>
      </c>
      <c r="D117" t="str">
        <f t="shared" si="1"/>
        <v/>
      </c>
    </row>
    <row r="118" spans="1:4">
      <c r="A118" s="2" t="s">
        <v>496</v>
      </c>
      <c r="B118" s="2">
        <v>11</v>
      </c>
      <c r="C118">
        <f>_xlfn.XLOOKUP(A118,Merging2!A:A,Merging2!C:C," ",)</f>
        <v>0</v>
      </c>
      <c r="D118" t="str">
        <f t="shared" si="1"/>
        <v/>
      </c>
    </row>
    <row r="119" spans="1:4">
      <c r="A119" s="2" t="s">
        <v>497</v>
      </c>
      <c r="B119" s="2">
        <v>10</v>
      </c>
      <c r="C119" t="str">
        <f>_xlfn.XLOOKUP(A119,Merging2!A:A,Merging2!C:C," ",)</f>
        <v>Jaysh al-Sanadeed</v>
      </c>
      <c r="D119" t="str">
        <f t="shared" si="1"/>
        <v>Jaysh al-Sanadeed</v>
      </c>
    </row>
    <row r="120" spans="1:4">
      <c r="A120" s="2" t="s">
        <v>499</v>
      </c>
      <c r="B120" s="2">
        <v>10</v>
      </c>
      <c r="C120">
        <f>_xlfn.XLOOKUP(A120,Merging2!A:A,Merging2!C:C," ",)</f>
        <v>0</v>
      </c>
      <c r="D120" t="str">
        <f t="shared" si="1"/>
        <v/>
      </c>
    </row>
    <row r="121" spans="1:4">
      <c r="A121" s="2" t="s">
        <v>500</v>
      </c>
      <c r="B121" s="2">
        <v>10</v>
      </c>
      <c r="C121">
        <f>_xlfn.XLOOKUP(A121,Merging2!A:A,Merging2!C:C," ",)</f>
        <v>0</v>
      </c>
      <c r="D121" t="str">
        <f t="shared" si="1"/>
        <v/>
      </c>
    </row>
    <row r="122" spans="1:4">
      <c r="A122" s="2" t="s">
        <v>69</v>
      </c>
      <c r="B122" s="2">
        <v>10</v>
      </c>
      <c r="C122" t="str">
        <f>_xlfn.XLOOKUP(A122,Merging2!A:A,Merging2!C:C," ",)</f>
        <v>The Islamic State</v>
      </c>
      <c r="D122" t="str">
        <f t="shared" si="1"/>
        <v>The Islamic State</v>
      </c>
    </row>
    <row r="123" spans="1:4">
      <c r="A123" s="2" t="s">
        <v>501</v>
      </c>
      <c r="B123" s="2">
        <v>10</v>
      </c>
      <c r="C123" t="str">
        <f>_xlfn.XLOOKUP(A123,Merging2!A:A,Merging2!C:C," ",)</f>
        <v>Kurdish Front</v>
      </c>
      <c r="D123" t="str">
        <f t="shared" si="1"/>
        <v>Kurdish Front</v>
      </c>
    </row>
    <row r="124" spans="1:4">
      <c r="A124" s="2" t="s">
        <v>503</v>
      </c>
      <c r="B124" s="2">
        <v>10</v>
      </c>
      <c r="C124" t="str">
        <f>_xlfn.XLOOKUP(A124,Merging2!A:A,Merging2!C:C," ",)</f>
        <v>Israel</v>
      </c>
      <c r="D124" t="str">
        <f t="shared" si="1"/>
        <v>Israel</v>
      </c>
    </row>
    <row r="125" spans="1:4">
      <c r="A125" s="2" t="s">
        <v>504</v>
      </c>
      <c r="B125" s="2">
        <v>10</v>
      </c>
      <c r="C125">
        <f>_xlfn.XLOOKUP(A125,Merging2!A:A,Merging2!C:C," ",)</f>
        <v>0</v>
      </c>
      <c r="D125" t="str">
        <f t="shared" si="1"/>
        <v/>
      </c>
    </row>
    <row r="126" spans="1:4">
      <c r="A126" s="2" t="s">
        <v>505</v>
      </c>
      <c r="B126" s="2">
        <v>10</v>
      </c>
      <c r="C126" t="str">
        <f>_xlfn.XLOOKUP(A126,Merging2!A:A,Merging2!C:C," ",)</f>
        <v>x</v>
      </c>
      <c r="D126" t="str">
        <f t="shared" si="1"/>
        <v>x</v>
      </c>
    </row>
    <row r="127" spans="1:4">
      <c r="A127" s="2" t="s">
        <v>506</v>
      </c>
      <c r="B127" s="2">
        <v>9</v>
      </c>
      <c r="C127">
        <f>_xlfn.XLOOKUP(A127,Merging2!A:A,Merging2!C:C," ",)</f>
        <v>0</v>
      </c>
      <c r="D127" t="str">
        <f t="shared" si="1"/>
        <v/>
      </c>
    </row>
    <row r="128" spans="1:4">
      <c r="A128" s="2" t="s">
        <v>507</v>
      </c>
      <c r="B128" s="2">
        <v>9</v>
      </c>
      <c r="C128">
        <f>_xlfn.XLOOKUP(A128,Merging2!A:A,Merging2!C:C," ",)</f>
        <v>0</v>
      </c>
      <c r="D128" t="str">
        <f t="shared" si="1"/>
        <v/>
      </c>
    </row>
    <row r="129" spans="1:4">
      <c r="A129" s="2" t="s">
        <v>508</v>
      </c>
      <c r="B129" s="2">
        <v>9</v>
      </c>
      <c r="C129">
        <f>_xlfn.XLOOKUP(A129,Merging2!A:A,Merging2!C:C," ",)</f>
        <v>0</v>
      </c>
      <c r="D129" t="str">
        <f t="shared" si="1"/>
        <v/>
      </c>
    </row>
    <row r="130" spans="1:4">
      <c r="A130" s="2" t="s">
        <v>509</v>
      </c>
      <c r="B130" s="2">
        <v>9</v>
      </c>
      <c r="C130">
        <f>_xlfn.XLOOKUP(A130,Merging2!A:A,Merging2!C:C," ",)</f>
        <v>0</v>
      </c>
      <c r="D130" t="str">
        <f t="shared" si="1"/>
        <v/>
      </c>
    </row>
    <row r="131" spans="1:4">
      <c r="A131" s="2" t="s">
        <v>510</v>
      </c>
      <c r="B131" s="2">
        <v>9</v>
      </c>
      <c r="C131" t="str">
        <f>_xlfn.XLOOKUP(A131,Merging2!A:A,Merging2!C:C," ",)</f>
        <v>Free Syrian Army</v>
      </c>
      <c r="D131" t="str">
        <f t="shared" ref="D131:D194" si="2">IF(C131&lt;&gt;0,C131,"")</f>
        <v>Free Syrian Army</v>
      </c>
    </row>
    <row r="132" spans="1:4">
      <c r="A132" s="2" t="s">
        <v>511</v>
      </c>
      <c r="B132" s="2">
        <v>8</v>
      </c>
      <c r="C132" t="str">
        <f>_xlfn.XLOOKUP(A132,Merging2!A:A,Merging2!C:C," ",)</f>
        <v>x</v>
      </c>
      <c r="D132" t="str">
        <f t="shared" si="2"/>
        <v>x</v>
      </c>
    </row>
    <row r="133" spans="1:4">
      <c r="A133" s="2" t="s">
        <v>512</v>
      </c>
      <c r="B133" s="2">
        <v>8</v>
      </c>
      <c r="C133">
        <f>_xlfn.XLOOKUP(A133,Merging2!A:A,Merging2!C:C," ",)</f>
        <v>0</v>
      </c>
      <c r="D133" t="str">
        <f t="shared" si="2"/>
        <v/>
      </c>
    </row>
    <row r="134" spans="1:4">
      <c r="A134" s="2" t="s">
        <v>513</v>
      </c>
      <c r="B134" s="2">
        <v>8</v>
      </c>
      <c r="C134">
        <f>_xlfn.XLOOKUP(A134,Merging2!A:A,Merging2!C:C," ",)</f>
        <v>0</v>
      </c>
      <c r="D134" t="str">
        <f t="shared" si="2"/>
        <v/>
      </c>
    </row>
    <row r="135" spans="1:4">
      <c r="A135" s="2" t="s">
        <v>514</v>
      </c>
      <c r="B135" s="2">
        <v>8</v>
      </c>
      <c r="C135" t="str">
        <f>_xlfn.XLOOKUP(A135,Merging2!A:A,Merging2!C:C," ",)</f>
        <v>USA</v>
      </c>
      <c r="D135" t="str">
        <f t="shared" si="2"/>
        <v>USA</v>
      </c>
    </row>
    <row r="136" spans="1:4">
      <c r="A136" s="2" t="s">
        <v>515</v>
      </c>
      <c r="B136" s="2">
        <v>8</v>
      </c>
      <c r="C136">
        <f>_xlfn.XLOOKUP(A136,Merging2!A:A,Merging2!C:C," ",)</f>
        <v>0</v>
      </c>
      <c r="D136" t="str">
        <f t="shared" si="2"/>
        <v/>
      </c>
    </row>
    <row r="137" spans="1:4">
      <c r="A137" s="2" t="s">
        <v>516</v>
      </c>
      <c r="B137" s="2">
        <v>7</v>
      </c>
      <c r="C137" t="str">
        <f>_xlfn.XLOOKUP(A137,Merging2!A:A,Merging2!C:C," ",)</f>
        <v>x</v>
      </c>
      <c r="D137" t="str">
        <f t="shared" si="2"/>
        <v>x</v>
      </c>
    </row>
    <row r="138" spans="1:4">
      <c r="A138" s="2" t="s">
        <v>517</v>
      </c>
      <c r="B138" s="2">
        <v>7</v>
      </c>
      <c r="C138" t="str">
        <f>_xlfn.XLOOKUP(A138,Merging2!A:A,Merging2!C:C," ",)</f>
        <v>Iraq</v>
      </c>
      <c r="D138" t="str">
        <f t="shared" si="2"/>
        <v>Iraq</v>
      </c>
    </row>
    <row r="139" spans="1:4">
      <c r="A139" s="2" t="s">
        <v>518</v>
      </c>
      <c r="B139" s="2">
        <v>7</v>
      </c>
      <c r="C139">
        <f>_xlfn.XLOOKUP(A139,Merging2!A:A,Merging2!C:C," ",)</f>
        <v>0</v>
      </c>
      <c r="D139" t="str">
        <f t="shared" si="2"/>
        <v/>
      </c>
    </row>
    <row r="140" spans="1:4">
      <c r="A140" s="2" t="s">
        <v>519</v>
      </c>
      <c r="B140" s="2">
        <v>7</v>
      </c>
      <c r="C140">
        <f>_xlfn.XLOOKUP(A140,Merging2!A:A,Merging2!C:C," ",)</f>
        <v>0</v>
      </c>
      <c r="D140" t="str">
        <f t="shared" si="2"/>
        <v/>
      </c>
    </row>
    <row r="141" spans="1:4">
      <c r="A141" s="2" t="s">
        <v>520</v>
      </c>
      <c r="B141" s="2">
        <v>7</v>
      </c>
      <c r="C141">
        <f>_xlfn.XLOOKUP(A141,Merging2!A:A,Merging2!C:C," ",)</f>
        <v>0</v>
      </c>
      <c r="D141" t="str">
        <f t="shared" si="2"/>
        <v/>
      </c>
    </row>
    <row r="142" spans="1:4">
      <c r="A142" s="2" t="s">
        <v>521</v>
      </c>
      <c r="B142" s="2">
        <v>7</v>
      </c>
      <c r="C142">
        <f>_xlfn.XLOOKUP(A142,Merging2!A:A,Merging2!C:C," ",)</f>
        <v>0</v>
      </c>
      <c r="D142" t="s">
        <v>61</v>
      </c>
    </row>
    <row r="143" spans="1:4">
      <c r="A143" s="2" t="s">
        <v>522</v>
      </c>
      <c r="B143" s="2">
        <v>7</v>
      </c>
      <c r="C143">
        <f>_xlfn.XLOOKUP(A143,Merging2!A:A,Merging2!C:C," ",)</f>
        <v>0</v>
      </c>
      <c r="D143" t="str">
        <f t="shared" si="2"/>
        <v/>
      </c>
    </row>
    <row r="144" spans="1:4">
      <c r="A144" s="2" t="s">
        <v>523</v>
      </c>
      <c r="B144" s="2">
        <v>7</v>
      </c>
      <c r="C144" t="str">
        <f>_xlfn.XLOOKUP(A144,Merging2!A:A,Merging2!C:C," ",)</f>
        <v>Peoples Protection Units</v>
      </c>
      <c r="D144" t="str">
        <f t="shared" si="2"/>
        <v>Peoples Protection Units</v>
      </c>
    </row>
    <row r="145" spans="1:4">
      <c r="A145" s="2" t="s">
        <v>524</v>
      </c>
      <c r="B145" s="2">
        <v>7</v>
      </c>
      <c r="C145" t="str">
        <f>_xlfn.XLOOKUP(A145,Merging2!A:A,Merging2!C:C," ",)</f>
        <v xml:space="preserve"> </v>
      </c>
      <c r="D145" t="s">
        <v>392</v>
      </c>
    </row>
    <row r="146" spans="1:4">
      <c r="A146" s="2" t="s">
        <v>525</v>
      </c>
      <c r="B146" s="2">
        <v>6</v>
      </c>
      <c r="C146">
        <f>_xlfn.XLOOKUP(A146,Merging2!A:A,Merging2!C:C," ",)</f>
        <v>0</v>
      </c>
      <c r="D146" t="str">
        <f t="shared" si="2"/>
        <v/>
      </c>
    </row>
    <row r="147" spans="1:4">
      <c r="A147" s="2" t="s">
        <v>526</v>
      </c>
      <c r="B147" s="2">
        <v>6</v>
      </c>
      <c r="C147">
        <f>_xlfn.XLOOKUP(A147,Merging2!A:A,Merging2!C:C," ",)</f>
        <v>0</v>
      </c>
      <c r="D147" t="str">
        <f t="shared" si="2"/>
        <v/>
      </c>
    </row>
    <row r="148" spans="1:4">
      <c r="A148" s="2" t="s">
        <v>527</v>
      </c>
      <c r="B148" s="2">
        <v>6</v>
      </c>
      <c r="C148">
        <f>_xlfn.XLOOKUP(A148,Merging2!A:A,Merging2!C:C," ",)</f>
        <v>0</v>
      </c>
      <c r="D148" t="str">
        <f t="shared" si="2"/>
        <v/>
      </c>
    </row>
    <row r="149" spans="1:4">
      <c r="A149" s="2" t="s">
        <v>528</v>
      </c>
      <c r="B149" s="2">
        <v>6</v>
      </c>
      <c r="C149" t="str">
        <f>_xlfn.XLOOKUP(A149,Merging2!A:A,Merging2!C:C," ",)</f>
        <v>Free Syrian Army</v>
      </c>
      <c r="D149" t="str">
        <f t="shared" si="2"/>
        <v>Free Syrian Army</v>
      </c>
    </row>
    <row r="150" spans="1:4">
      <c r="A150" s="2" t="s">
        <v>529</v>
      </c>
      <c r="B150" s="2">
        <v>6</v>
      </c>
      <c r="C150" t="str">
        <f>_xlfn.XLOOKUP(A150,Merging2!A:A,Merging2!C:C," ",)</f>
        <v>Aknaf Bait al-Maqdis</v>
      </c>
      <c r="D150" t="str">
        <f t="shared" si="2"/>
        <v>Aknaf Bait al-Maqdis</v>
      </c>
    </row>
    <row r="151" spans="1:4">
      <c r="A151" s="2" t="s">
        <v>530</v>
      </c>
      <c r="B151" s="2">
        <v>6</v>
      </c>
      <c r="C151">
        <f>_xlfn.XLOOKUP(A151,Merging2!A:A,Merging2!C:C," ",)</f>
        <v>0</v>
      </c>
      <c r="D151" t="str">
        <f t="shared" si="2"/>
        <v/>
      </c>
    </row>
    <row r="152" spans="1:4">
      <c r="A152" s="2" t="s">
        <v>531</v>
      </c>
      <c r="B152" s="2">
        <v>6</v>
      </c>
      <c r="C152" t="str">
        <f>_xlfn.XLOOKUP(A152,Merging2!A:A,Merging2!C:C," ",)</f>
        <v>Israel</v>
      </c>
      <c r="D152" t="str">
        <f t="shared" si="2"/>
        <v>Israel</v>
      </c>
    </row>
    <row r="153" spans="1:4">
      <c r="A153" s="2" t="s">
        <v>532</v>
      </c>
      <c r="B153" s="2">
        <v>6</v>
      </c>
      <c r="C153" t="str">
        <f>_xlfn.XLOOKUP(A153,Merging2!A:A,Merging2!C:C," ",)</f>
        <v>x</v>
      </c>
      <c r="D153" t="str">
        <f t="shared" si="2"/>
        <v>x</v>
      </c>
    </row>
    <row r="154" spans="1:4">
      <c r="A154" s="2" t="s">
        <v>533</v>
      </c>
      <c r="B154" s="2">
        <v>6</v>
      </c>
      <c r="C154">
        <f>_xlfn.XLOOKUP(A154,Merging2!A:A,Merging2!C:C," ",)</f>
        <v>0</v>
      </c>
      <c r="D154" t="str">
        <f t="shared" si="2"/>
        <v/>
      </c>
    </row>
    <row r="155" spans="1:4">
      <c r="A155" s="2" t="s">
        <v>534</v>
      </c>
      <c r="B155" s="2">
        <v>5</v>
      </c>
      <c r="C155">
        <f>_xlfn.XLOOKUP(A155,Merging2!A:A,Merging2!C:C," ",)</f>
        <v>0</v>
      </c>
      <c r="D155" t="str">
        <f t="shared" si="2"/>
        <v/>
      </c>
    </row>
    <row r="156" spans="1:4">
      <c r="A156" s="2" t="s">
        <v>535</v>
      </c>
      <c r="B156" s="2">
        <v>5</v>
      </c>
      <c r="C156">
        <f>_xlfn.XLOOKUP(A156,Merging2!A:A,Merging2!C:C," ",)</f>
        <v>0</v>
      </c>
      <c r="D156" t="s">
        <v>61</v>
      </c>
    </row>
    <row r="157" spans="1:4">
      <c r="A157" s="2" t="s">
        <v>536</v>
      </c>
      <c r="B157" s="2">
        <v>5</v>
      </c>
      <c r="C157">
        <f>_xlfn.XLOOKUP(A157,Merging2!A:A,Merging2!C:C," ",)</f>
        <v>0</v>
      </c>
      <c r="D157" t="str">
        <f t="shared" si="2"/>
        <v/>
      </c>
    </row>
    <row r="158" spans="1:4">
      <c r="A158" s="2" t="s">
        <v>537</v>
      </c>
      <c r="B158" s="2">
        <v>5</v>
      </c>
      <c r="C158">
        <f>_xlfn.XLOOKUP(A158,Merging2!A:A,Merging2!C:C," ",)</f>
        <v>0</v>
      </c>
      <c r="D158" t="s">
        <v>61</v>
      </c>
    </row>
    <row r="159" spans="1:4">
      <c r="A159" s="2" t="s">
        <v>538</v>
      </c>
      <c r="B159" s="2">
        <v>5</v>
      </c>
      <c r="C159">
        <f>_xlfn.XLOOKUP(A159,Merging2!A:A,Merging2!C:C," ",)</f>
        <v>0</v>
      </c>
      <c r="D159" t="str">
        <f t="shared" si="2"/>
        <v/>
      </c>
    </row>
    <row r="160" spans="1:4">
      <c r="A160" s="2" t="s">
        <v>539</v>
      </c>
      <c r="B160" s="2">
        <v>5</v>
      </c>
      <c r="C160" t="str">
        <f>_xlfn.XLOOKUP(A160,Merging2!A:A,Merging2!C:C," ",)</f>
        <v>x</v>
      </c>
      <c r="D160" t="str">
        <f t="shared" si="2"/>
        <v>x</v>
      </c>
    </row>
    <row r="161" spans="1:4">
      <c r="A161" s="2" t="s">
        <v>540</v>
      </c>
      <c r="B161" s="2">
        <v>5</v>
      </c>
      <c r="C161">
        <f>_xlfn.XLOOKUP(A161,Merging2!A:A,Merging2!C:C," ",)</f>
        <v>0</v>
      </c>
      <c r="D161" t="s">
        <v>53</v>
      </c>
    </row>
    <row r="162" spans="1:4">
      <c r="A162" s="2" t="s">
        <v>541</v>
      </c>
      <c r="B162" s="2">
        <v>5</v>
      </c>
      <c r="C162">
        <f>_xlfn.XLOOKUP(A162,Merging2!A:A,Merging2!C:C," ",)</f>
        <v>0</v>
      </c>
      <c r="D162" t="s">
        <v>39</v>
      </c>
    </row>
    <row r="163" spans="1:4">
      <c r="A163" s="2" t="s">
        <v>542</v>
      </c>
      <c r="B163" s="2">
        <v>5</v>
      </c>
      <c r="C163">
        <f>_xlfn.XLOOKUP(A163,Merging2!A:A,Merging2!C:C," ",)</f>
        <v>0</v>
      </c>
      <c r="D163" t="str">
        <f t="shared" si="2"/>
        <v/>
      </c>
    </row>
    <row r="164" spans="1:4">
      <c r="A164" s="2" t="s">
        <v>543</v>
      </c>
      <c r="B164" s="2">
        <v>5</v>
      </c>
      <c r="C164" t="str">
        <f>_xlfn.XLOOKUP(A164,Merging2!A:A,Merging2!C:C," ",)</f>
        <v>Russia</v>
      </c>
      <c r="D164" t="str">
        <f t="shared" si="2"/>
        <v>Russia</v>
      </c>
    </row>
    <row r="165" spans="1:4">
      <c r="A165" s="2" t="s">
        <v>544</v>
      </c>
      <c r="B165" s="2">
        <v>5</v>
      </c>
      <c r="C165">
        <f>_xlfn.XLOOKUP(A165,Merging2!A:A,Merging2!C:C," ",)</f>
        <v>0</v>
      </c>
      <c r="D165" t="str">
        <f t="shared" si="2"/>
        <v/>
      </c>
    </row>
    <row r="166" spans="1:4">
      <c r="A166" s="2" t="s">
        <v>545</v>
      </c>
      <c r="B166" s="2">
        <v>5</v>
      </c>
      <c r="C166">
        <f>_xlfn.XLOOKUP(A166,Merging2!A:A,Merging2!C:C," ",)</f>
        <v>0</v>
      </c>
      <c r="D166" t="str">
        <f t="shared" si="2"/>
        <v/>
      </c>
    </row>
    <row r="167" spans="1:4">
      <c r="A167" s="2" t="s">
        <v>546</v>
      </c>
      <c r="B167" s="2">
        <v>5</v>
      </c>
      <c r="C167">
        <f>_xlfn.XLOOKUP(A167,Merging2!A:A,Merging2!C:C," ",)</f>
        <v>0</v>
      </c>
      <c r="D167" t="str">
        <f t="shared" si="2"/>
        <v/>
      </c>
    </row>
    <row r="168" spans="1:4">
      <c r="A168" s="2" t="s">
        <v>548</v>
      </c>
      <c r="B168" s="2">
        <v>5</v>
      </c>
      <c r="C168">
        <f>_xlfn.XLOOKUP(A168,Merging2!A:A,Merging2!C:C," ",)</f>
        <v>0</v>
      </c>
      <c r="D168" t="str">
        <f t="shared" si="2"/>
        <v/>
      </c>
    </row>
    <row r="169" spans="1:4">
      <c r="A169" s="2" t="s">
        <v>549</v>
      </c>
      <c r="B169" s="2">
        <v>5</v>
      </c>
      <c r="C169" t="str">
        <f>_xlfn.XLOOKUP(A169,Merging2!A:A,Merging2!C:C," ",)</f>
        <v>x</v>
      </c>
      <c r="D169" t="str">
        <f t="shared" si="2"/>
        <v>x</v>
      </c>
    </row>
    <row r="170" spans="1:4">
      <c r="A170" s="2" t="s">
        <v>550</v>
      </c>
      <c r="B170" s="2">
        <v>5</v>
      </c>
      <c r="C170">
        <f>_xlfn.XLOOKUP(A170,Merging2!A:A,Merging2!C:C," ",)</f>
        <v>0</v>
      </c>
      <c r="D170" t="str">
        <f t="shared" si="2"/>
        <v/>
      </c>
    </row>
    <row r="171" spans="1:4">
      <c r="A171" s="2" t="s">
        <v>551</v>
      </c>
      <c r="B171" s="2">
        <v>4</v>
      </c>
      <c r="C171">
        <f>_xlfn.XLOOKUP(A171,Merging2!A:A,Merging2!C:C," ",)</f>
        <v>0</v>
      </c>
      <c r="D171" t="str">
        <f t="shared" si="2"/>
        <v/>
      </c>
    </row>
    <row r="172" spans="1:4">
      <c r="A172" s="2" t="s">
        <v>552</v>
      </c>
      <c r="B172" s="2">
        <v>4</v>
      </c>
      <c r="C172">
        <f>_xlfn.XLOOKUP(A172,Merging2!A:A,Merging2!C:C," ",)</f>
        <v>0</v>
      </c>
      <c r="D172" t="str">
        <f t="shared" si="2"/>
        <v/>
      </c>
    </row>
    <row r="173" spans="1:4">
      <c r="A173" s="2" t="s">
        <v>553</v>
      </c>
      <c r="B173" s="2">
        <v>4</v>
      </c>
      <c r="C173">
        <f>_xlfn.XLOOKUP(A173,Merging2!A:A,Merging2!C:C," ",)</f>
        <v>0</v>
      </c>
      <c r="D173" t="str">
        <f t="shared" si="2"/>
        <v/>
      </c>
    </row>
    <row r="174" spans="1:4">
      <c r="A174" s="2" t="s">
        <v>554</v>
      </c>
      <c r="B174" s="2">
        <v>4</v>
      </c>
      <c r="C174">
        <f>_xlfn.XLOOKUP(A174,Merging2!A:A,Merging2!C:C," ",)</f>
        <v>0</v>
      </c>
      <c r="D174" t="str">
        <f t="shared" si="2"/>
        <v/>
      </c>
    </row>
    <row r="175" spans="1:4">
      <c r="A175" s="2" t="s">
        <v>555</v>
      </c>
      <c r="B175" s="2">
        <v>4</v>
      </c>
      <c r="C175">
        <f>_xlfn.XLOOKUP(A175,Merging2!A:A,Merging2!C:C," ",)</f>
        <v>0</v>
      </c>
      <c r="D175" t="s">
        <v>164</v>
      </c>
    </row>
    <row r="176" spans="1:4">
      <c r="A176" s="2" t="s">
        <v>556</v>
      </c>
      <c r="B176" s="2">
        <v>4</v>
      </c>
      <c r="C176">
        <f>_xlfn.XLOOKUP(A176,Merging2!A:A,Merging2!C:C," ",)</f>
        <v>0</v>
      </c>
      <c r="D176" t="str">
        <f t="shared" si="2"/>
        <v/>
      </c>
    </row>
    <row r="177" spans="1:4">
      <c r="A177" s="2" t="s">
        <v>557</v>
      </c>
      <c r="B177" s="2">
        <v>4</v>
      </c>
      <c r="C177">
        <f>_xlfn.XLOOKUP(A177,Merging2!A:A,Merging2!C:C," ",)</f>
        <v>0</v>
      </c>
      <c r="D177" t="str">
        <f t="shared" si="2"/>
        <v/>
      </c>
    </row>
    <row r="178" spans="1:4">
      <c r="A178" s="2" t="s">
        <v>558</v>
      </c>
      <c r="B178" s="2">
        <v>4</v>
      </c>
      <c r="C178">
        <f>_xlfn.XLOOKUP(A178,Merging2!A:A,Merging2!C:C," ",)</f>
        <v>0</v>
      </c>
      <c r="D178" t="str">
        <f t="shared" si="2"/>
        <v/>
      </c>
    </row>
    <row r="179" spans="1:4">
      <c r="A179" s="2" t="s">
        <v>559</v>
      </c>
      <c r="B179" s="2">
        <v>4</v>
      </c>
      <c r="C179">
        <f>_xlfn.XLOOKUP(A179,Merging2!A:A,Merging2!C:C," ",)</f>
        <v>0</v>
      </c>
      <c r="D179" t="str">
        <f t="shared" si="2"/>
        <v/>
      </c>
    </row>
    <row r="180" spans="1:4">
      <c r="A180" s="2" t="s">
        <v>560</v>
      </c>
      <c r="B180" s="2">
        <v>4</v>
      </c>
      <c r="C180">
        <f>_xlfn.XLOOKUP(A180,Merging2!A:A,Merging2!C:C," ",)</f>
        <v>0</v>
      </c>
      <c r="D180" t="str">
        <f t="shared" si="2"/>
        <v/>
      </c>
    </row>
    <row r="181" spans="1:4">
      <c r="A181" s="2" t="s">
        <v>561</v>
      </c>
      <c r="B181" s="2">
        <v>4</v>
      </c>
      <c r="C181">
        <f>_xlfn.XLOOKUP(A181,Merging2!A:A,Merging2!C:C," ",)</f>
        <v>0</v>
      </c>
      <c r="D181" t="str">
        <f t="shared" si="2"/>
        <v/>
      </c>
    </row>
    <row r="182" spans="1:4">
      <c r="A182" s="2" t="s">
        <v>562</v>
      </c>
      <c r="B182" s="2">
        <v>4</v>
      </c>
      <c r="C182" t="str">
        <f>_xlfn.XLOOKUP(A182,Merging2!A:A,Merging2!C:C," ",)</f>
        <v>x</v>
      </c>
      <c r="D182" t="str">
        <f t="shared" si="2"/>
        <v>x</v>
      </c>
    </row>
    <row r="183" spans="1:4">
      <c r="A183" s="2" t="s">
        <v>563</v>
      </c>
      <c r="B183" s="2">
        <v>4</v>
      </c>
      <c r="C183">
        <f>_xlfn.XLOOKUP(A183,Merging2!A:A,Merging2!C:C," ",)</f>
        <v>0</v>
      </c>
      <c r="D183" t="str">
        <f t="shared" si="2"/>
        <v/>
      </c>
    </row>
    <row r="184" spans="1:4">
      <c r="A184" s="2" t="s">
        <v>564</v>
      </c>
      <c r="B184" s="2">
        <v>4</v>
      </c>
      <c r="C184">
        <f>_xlfn.XLOOKUP(A184,Merging2!A:A,Merging2!C:C," ",)</f>
        <v>0</v>
      </c>
      <c r="D184" t="str">
        <f t="shared" si="2"/>
        <v/>
      </c>
    </row>
    <row r="185" spans="1:4">
      <c r="A185" s="2" t="s">
        <v>565</v>
      </c>
      <c r="B185" s="2">
        <v>4</v>
      </c>
      <c r="C185">
        <f>_xlfn.XLOOKUP(A185,Merging2!A:A,Merging2!C:C," ",)</f>
        <v>0</v>
      </c>
      <c r="D185" t="str">
        <f t="shared" si="2"/>
        <v/>
      </c>
    </row>
    <row r="186" spans="1:4">
      <c r="A186" s="2" t="s">
        <v>566</v>
      </c>
      <c r="B186" s="2">
        <v>4</v>
      </c>
      <c r="C186">
        <f>_xlfn.XLOOKUP(A186,Merging2!A:A,Merging2!C:C," ",)</f>
        <v>0</v>
      </c>
      <c r="D186" t="str">
        <f t="shared" si="2"/>
        <v/>
      </c>
    </row>
    <row r="187" spans="1:4">
      <c r="A187" s="2" t="s">
        <v>567</v>
      </c>
      <c r="B187" s="2">
        <v>4</v>
      </c>
      <c r="C187">
        <f>_xlfn.XLOOKUP(A187,Merging2!A:A,Merging2!C:C," ",)</f>
        <v>0</v>
      </c>
      <c r="D187" t="str">
        <f t="shared" si="2"/>
        <v/>
      </c>
    </row>
    <row r="188" spans="1:4">
      <c r="A188" s="2" t="s">
        <v>568</v>
      </c>
      <c r="B188" s="2">
        <v>4</v>
      </c>
      <c r="C188">
        <f>_xlfn.XLOOKUP(A188,Merging2!A:A,Merging2!C:C," ",)</f>
        <v>0</v>
      </c>
      <c r="D188" t="str">
        <f t="shared" si="2"/>
        <v/>
      </c>
    </row>
    <row r="189" spans="1:4">
      <c r="A189" s="2" t="s">
        <v>569</v>
      </c>
      <c r="B189" s="2">
        <v>4</v>
      </c>
      <c r="C189">
        <f>_xlfn.XLOOKUP(A189,Merging2!A:A,Merging2!C:C," ",)</f>
        <v>0</v>
      </c>
      <c r="D189" t="str">
        <f t="shared" si="2"/>
        <v/>
      </c>
    </row>
    <row r="190" spans="1:4">
      <c r="A190" s="2" t="s">
        <v>570</v>
      </c>
      <c r="B190" s="2">
        <v>4</v>
      </c>
      <c r="C190">
        <f>_xlfn.XLOOKUP(A190,Merging2!A:A,Merging2!C:C,"",)</f>
        <v>0</v>
      </c>
      <c r="D190" t="str">
        <f t="shared" si="2"/>
        <v/>
      </c>
    </row>
    <row r="191" spans="1:4">
      <c r="A191" s="2" t="s">
        <v>571</v>
      </c>
      <c r="B191" s="2">
        <v>4</v>
      </c>
      <c r="C191">
        <f>_xlfn.XLOOKUP(A191,Merging2!A:A,Merging2!C:C,"",)</f>
        <v>0</v>
      </c>
      <c r="D191" t="str">
        <f t="shared" si="2"/>
        <v/>
      </c>
    </row>
    <row r="192" spans="1:4">
      <c r="A192" s="2" t="s">
        <v>572</v>
      </c>
      <c r="B192" s="2">
        <v>4</v>
      </c>
      <c r="C192">
        <f>_xlfn.XLOOKUP(A192,Merging2!A:A,Merging2!C:C,"",)</f>
        <v>0</v>
      </c>
      <c r="D192" t="str">
        <f t="shared" si="2"/>
        <v/>
      </c>
    </row>
    <row r="193" spans="1:4">
      <c r="A193" s="2" t="s">
        <v>574</v>
      </c>
      <c r="B193" s="2">
        <v>4</v>
      </c>
      <c r="C193">
        <f>_xlfn.XLOOKUP(A193,Merging2!A:A,Merging2!C:C,"",)</f>
        <v>0</v>
      </c>
      <c r="D193" t="str">
        <f t="shared" si="2"/>
        <v/>
      </c>
    </row>
    <row r="194" spans="1:4">
      <c r="A194" s="2" t="s">
        <v>575</v>
      </c>
      <c r="B194" s="2">
        <v>4</v>
      </c>
      <c r="C194">
        <f>_xlfn.XLOOKUP(A194,Merging2!A:A,Merging2!C:C,"",)</f>
        <v>0</v>
      </c>
      <c r="D194" t="str">
        <f t="shared" si="2"/>
        <v/>
      </c>
    </row>
    <row r="195" spans="1:4">
      <c r="A195" s="2" t="s">
        <v>576</v>
      </c>
      <c r="B195" s="2">
        <v>4</v>
      </c>
      <c r="C195">
        <f>_xlfn.XLOOKUP(A195,Merging2!A:A,Merging2!C:C,"",)</f>
        <v>0</v>
      </c>
      <c r="D195" t="str">
        <f t="shared" ref="D195:D258" si="3">IF(C195&lt;&gt;0,C195,"")</f>
        <v/>
      </c>
    </row>
    <row r="196" spans="1:4">
      <c r="A196" s="2" t="s">
        <v>577</v>
      </c>
      <c r="B196" s="2">
        <v>4</v>
      </c>
      <c r="C196">
        <f>_xlfn.XLOOKUP(A196,Merging2!A:A,Merging2!C:C,"",)</f>
        <v>0</v>
      </c>
      <c r="D196" t="str">
        <f t="shared" si="3"/>
        <v/>
      </c>
    </row>
    <row r="197" spans="1:4">
      <c r="A197" s="2" t="s">
        <v>578</v>
      </c>
      <c r="B197" s="2">
        <v>4</v>
      </c>
      <c r="C197">
        <f>_xlfn.XLOOKUP(A197,Merging2!A:A,Merging2!C:C,"",)</f>
        <v>0</v>
      </c>
      <c r="D197" t="str">
        <f t="shared" si="3"/>
        <v/>
      </c>
    </row>
    <row r="198" spans="1:4">
      <c r="A198" s="2" t="s">
        <v>39</v>
      </c>
      <c r="B198" s="2">
        <v>3</v>
      </c>
      <c r="C198">
        <f>_xlfn.XLOOKUP(A198,Merging2!A:A,Merging2!C:C,"",)</f>
        <v>0</v>
      </c>
      <c r="D198" t="str">
        <f t="shared" si="3"/>
        <v/>
      </c>
    </row>
    <row r="199" spans="1:4">
      <c r="A199" s="2" t="s">
        <v>579</v>
      </c>
      <c r="B199" s="2">
        <v>3</v>
      </c>
      <c r="C199" t="str">
        <f>_xlfn.XLOOKUP(A199,Merging2!A:A,Merging2!C:C,"",)</f>
        <v>x</v>
      </c>
      <c r="D199" t="str">
        <f t="shared" si="3"/>
        <v>x</v>
      </c>
    </row>
    <row r="200" spans="1:4">
      <c r="A200" s="2" t="s">
        <v>580</v>
      </c>
      <c r="B200" s="2">
        <v>3</v>
      </c>
      <c r="C200">
        <f>_xlfn.XLOOKUP(A200,Merging2!A:A,Merging2!C:C,"",)</f>
        <v>0</v>
      </c>
      <c r="D200" t="str">
        <f t="shared" si="3"/>
        <v/>
      </c>
    </row>
    <row r="201" spans="1:4">
      <c r="A201" s="2" t="s">
        <v>581</v>
      </c>
      <c r="B201" s="2">
        <v>3</v>
      </c>
      <c r="C201" t="str">
        <f>_xlfn.XLOOKUP(A201,Merging2!A:A,Merging2!C:C,"",)</f>
        <v>Russia</v>
      </c>
      <c r="D201" t="str">
        <f t="shared" si="3"/>
        <v>Russia</v>
      </c>
    </row>
    <row r="202" spans="1:4">
      <c r="A202" s="2" t="s">
        <v>582</v>
      </c>
      <c r="B202" s="2">
        <v>3</v>
      </c>
      <c r="C202">
        <f>_xlfn.XLOOKUP(A202,Merging2!A:A,Merging2!C:C,"",)</f>
        <v>0</v>
      </c>
      <c r="D202" t="str">
        <f t="shared" si="3"/>
        <v/>
      </c>
    </row>
    <row r="203" spans="1:4">
      <c r="A203" s="2" t="s">
        <v>583</v>
      </c>
      <c r="B203" s="2">
        <v>3</v>
      </c>
      <c r="C203" t="str">
        <f>_xlfn.XLOOKUP(A203,Merging2!A:A,Merging2!C:C,"",)</f>
        <v>x</v>
      </c>
      <c r="D203" t="str">
        <f t="shared" si="3"/>
        <v>x</v>
      </c>
    </row>
    <row r="204" spans="1:4">
      <c r="A204" s="2" t="s">
        <v>584</v>
      </c>
      <c r="B204" s="2">
        <v>3</v>
      </c>
      <c r="C204">
        <f>_xlfn.XLOOKUP(A204,Merging2!A:A,Merging2!C:C,"",)</f>
        <v>0</v>
      </c>
      <c r="D204" t="str">
        <f t="shared" si="3"/>
        <v/>
      </c>
    </row>
    <row r="205" spans="1:4">
      <c r="A205" s="2" t="s">
        <v>585</v>
      </c>
      <c r="B205" s="2">
        <v>3</v>
      </c>
      <c r="C205">
        <f>_xlfn.XLOOKUP(A205,Merging2!A:A,Merging2!C:C,"",)</f>
        <v>0</v>
      </c>
      <c r="D205" t="str">
        <f t="shared" si="3"/>
        <v/>
      </c>
    </row>
    <row r="206" spans="1:4">
      <c r="A206" s="2" t="s">
        <v>586</v>
      </c>
      <c r="B206" s="2">
        <v>3</v>
      </c>
      <c r="C206">
        <f>_xlfn.XLOOKUP(A206,Merging2!A:A,Merging2!C:C,"",)</f>
        <v>0</v>
      </c>
      <c r="D206" t="str">
        <f t="shared" si="3"/>
        <v/>
      </c>
    </row>
    <row r="207" spans="1:4">
      <c r="A207" s="2" t="s">
        <v>587</v>
      </c>
      <c r="B207" s="2">
        <v>3</v>
      </c>
      <c r="C207">
        <f>_xlfn.XLOOKUP(A207,Merging2!A:A,Merging2!C:C,"",)</f>
        <v>0</v>
      </c>
      <c r="D207" t="str">
        <f t="shared" si="3"/>
        <v/>
      </c>
    </row>
    <row r="208" spans="1:4">
      <c r="A208" s="2" t="s">
        <v>588</v>
      </c>
      <c r="B208" s="2">
        <v>3</v>
      </c>
      <c r="C208">
        <f>_xlfn.XLOOKUP(A208,Merging2!A:A,Merging2!C:C,"",)</f>
        <v>0</v>
      </c>
      <c r="D208" t="str">
        <f t="shared" si="3"/>
        <v/>
      </c>
    </row>
    <row r="209" spans="1:4">
      <c r="A209" s="2" t="s">
        <v>589</v>
      </c>
      <c r="B209" s="2">
        <v>3</v>
      </c>
      <c r="C209">
        <f>_xlfn.XLOOKUP(A209,Merging2!A:A,Merging2!C:C,"",)</f>
        <v>0</v>
      </c>
      <c r="D209" t="str">
        <f t="shared" si="3"/>
        <v/>
      </c>
    </row>
    <row r="210" spans="1:4">
      <c r="A210" s="2" t="s">
        <v>590</v>
      </c>
      <c r="B210" s="2">
        <v>3</v>
      </c>
      <c r="C210" t="str">
        <f>_xlfn.XLOOKUP(A210,Merging2!A:A,Merging2!C:C,"",)</f>
        <v/>
      </c>
      <c r="D210" t="str">
        <f t="shared" si="3"/>
        <v/>
      </c>
    </row>
    <row r="211" spans="1:4">
      <c r="A211" s="2" t="s">
        <v>591</v>
      </c>
      <c r="B211" s="2">
        <v>3</v>
      </c>
      <c r="C211">
        <f>_xlfn.XLOOKUP(A211,Merging2!A:A,Merging2!C:C,"",)</f>
        <v>0</v>
      </c>
      <c r="D211" t="str">
        <f t="shared" si="3"/>
        <v/>
      </c>
    </row>
    <row r="212" spans="1:4">
      <c r="A212" s="2" t="s">
        <v>592</v>
      </c>
      <c r="B212" s="2">
        <v>3</v>
      </c>
      <c r="C212">
        <f>_xlfn.XLOOKUP(A212,Merging2!A:A,Merging2!C:C,"",)</f>
        <v>0</v>
      </c>
      <c r="D212" t="str">
        <f t="shared" si="3"/>
        <v/>
      </c>
    </row>
    <row r="213" spans="1:4">
      <c r="A213" s="2" t="s">
        <v>593</v>
      </c>
      <c r="B213" s="2">
        <v>3</v>
      </c>
      <c r="C213">
        <f>_xlfn.XLOOKUP(A213,Merging2!A:A,Merging2!C:C,"",)</f>
        <v>0</v>
      </c>
      <c r="D213" t="str">
        <f t="shared" si="3"/>
        <v/>
      </c>
    </row>
    <row r="214" spans="1:4">
      <c r="A214" s="2" t="s">
        <v>594</v>
      </c>
      <c r="B214" s="2">
        <v>3</v>
      </c>
      <c r="C214">
        <f>_xlfn.XLOOKUP(A214,Merging2!A:A,Merging2!C:C,"",)</f>
        <v>0</v>
      </c>
      <c r="D214" t="str">
        <f t="shared" si="3"/>
        <v/>
      </c>
    </row>
    <row r="215" spans="1:4">
      <c r="A215" s="2" t="s">
        <v>21</v>
      </c>
      <c r="B215" s="2">
        <v>3</v>
      </c>
      <c r="C215">
        <f>_xlfn.XLOOKUP(A215,Merging2!A:A,Merging2!C:C,"",)</f>
        <v>0</v>
      </c>
      <c r="D215" t="str">
        <f t="shared" si="3"/>
        <v/>
      </c>
    </row>
    <row r="216" spans="1:4">
      <c r="A216" s="2" t="s">
        <v>595</v>
      </c>
      <c r="B216" s="2">
        <v>3</v>
      </c>
      <c r="C216" t="str">
        <f>_xlfn.XLOOKUP(A216,Merging2!A:A,Merging2!C:C,"",)</f>
        <v>x</v>
      </c>
      <c r="D216" t="str">
        <f t="shared" si="3"/>
        <v>x</v>
      </c>
    </row>
    <row r="217" spans="1:4">
      <c r="A217" s="2" t="s">
        <v>596</v>
      </c>
      <c r="B217" s="2">
        <v>3</v>
      </c>
      <c r="C217" t="str">
        <f>_xlfn.XLOOKUP(A217,Merging2!A:A,Merging2!C:C,"",)</f>
        <v>x</v>
      </c>
      <c r="D217" t="str">
        <f t="shared" si="3"/>
        <v>x</v>
      </c>
    </row>
    <row r="218" spans="1:4">
      <c r="A218" s="2" t="s">
        <v>597</v>
      </c>
      <c r="B218" s="2">
        <v>3</v>
      </c>
      <c r="C218">
        <f>_xlfn.XLOOKUP(A218,Merging2!A:A,Merging2!C:C,"",)</f>
        <v>0</v>
      </c>
      <c r="D218" t="str">
        <f t="shared" si="3"/>
        <v/>
      </c>
    </row>
    <row r="219" spans="1:4">
      <c r="A219" s="2" t="s">
        <v>598</v>
      </c>
      <c r="B219" s="2">
        <v>3</v>
      </c>
      <c r="C219">
        <f>_xlfn.XLOOKUP(A219,Merging2!A:A,Merging2!C:C,"",)</f>
        <v>0</v>
      </c>
      <c r="D219" t="str">
        <f t="shared" si="3"/>
        <v/>
      </c>
    </row>
    <row r="220" spans="1:4">
      <c r="A220" s="2" t="s">
        <v>599</v>
      </c>
      <c r="B220" s="2">
        <v>2</v>
      </c>
      <c r="C220" t="str">
        <f>_xlfn.XLOOKUP(A220,Merging2!A:A,Merging2!C:C,"",)</f>
        <v>Iraq</v>
      </c>
      <c r="D220" t="str">
        <f t="shared" si="3"/>
        <v>Iraq</v>
      </c>
    </row>
    <row r="221" spans="1:4">
      <c r="A221" s="2" t="s">
        <v>600</v>
      </c>
      <c r="B221" s="2">
        <v>2</v>
      </c>
      <c r="C221">
        <f>_xlfn.XLOOKUP(A221,Merging2!A:A,Merging2!C:C,"",)</f>
        <v>0</v>
      </c>
      <c r="D221" t="str">
        <f t="shared" si="3"/>
        <v/>
      </c>
    </row>
    <row r="222" spans="1:4">
      <c r="A222" s="2" t="s">
        <v>601</v>
      </c>
      <c r="B222" s="2">
        <v>2</v>
      </c>
      <c r="C222">
        <f>_xlfn.XLOOKUP(A222,Merging2!A:A,Merging2!C:C,"",)</f>
        <v>0</v>
      </c>
      <c r="D222" t="str">
        <f t="shared" si="3"/>
        <v/>
      </c>
    </row>
    <row r="223" spans="1:4">
      <c r="A223" s="2" t="s">
        <v>602</v>
      </c>
      <c r="B223" s="2">
        <v>2</v>
      </c>
      <c r="C223">
        <f>_xlfn.XLOOKUP(A223,Merging2!A:A,Merging2!C:C,"",)</f>
        <v>0</v>
      </c>
      <c r="D223" t="str">
        <f t="shared" si="3"/>
        <v/>
      </c>
    </row>
    <row r="224" spans="1:4">
      <c r="A224" s="2" t="s">
        <v>603</v>
      </c>
      <c r="B224" s="2">
        <v>2</v>
      </c>
      <c r="C224">
        <f>_xlfn.XLOOKUP(A224,Merging2!A:A,Merging2!C:C,"",)</f>
        <v>0</v>
      </c>
      <c r="D224" t="str">
        <f t="shared" si="3"/>
        <v/>
      </c>
    </row>
    <row r="225" spans="1:4">
      <c r="A225" s="2" t="s">
        <v>604</v>
      </c>
      <c r="B225" s="2">
        <v>2</v>
      </c>
      <c r="C225">
        <f>_xlfn.XLOOKUP(A225,Merging2!A:A,Merging2!C:C,"",)</f>
        <v>0</v>
      </c>
      <c r="D225" t="str">
        <f t="shared" si="3"/>
        <v/>
      </c>
    </row>
    <row r="226" spans="1:4">
      <c r="A226" s="2" t="s">
        <v>605</v>
      </c>
      <c r="B226" s="2">
        <v>2</v>
      </c>
      <c r="C226">
        <f>_xlfn.XLOOKUP(A226,Merging2!A:A,Merging2!C:C,"",)</f>
        <v>0</v>
      </c>
      <c r="D226" t="str">
        <f t="shared" si="3"/>
        <v/>
      </c>
    </row>
    <row r="227" spans="1:4">
      <c r="A227" s="2" t="s">
        <v>606</v>
      </c>
      <c r="B227" s="2">
        <v>2</v>
      </c>
      <c r="C227">
        <f>_xlfn.XLOOKUP(A227,Merging2!A:A,Merging2!C:C,"",)</f>
        <v>0</v>
      </c>
      <c r="D227" t="str">
        <f t="shared" si="3"/>
        <v/>
      </c>
    </row>
    <row r="228" spans="1:4">
      <c r="A228" s="2" t="s">
        <v>607</v>
      </c>
      <c r="B228" s="2">
        <v>2</v>
      </c>
      <c r="C228" t="str">
        <f>_xlfn.XLOOKUP(A228,Merging2!A:A,Merging2!C:C,"",)</f>
        <v>x</v>
      </c>
      <c r="D228" t="str">
        <f t="shared" si="3"/>
        <v>x</v>
      </c>
    </row>
    <row r="229" spans="1:4">
      <c r="A229" s="2" t="s">
        <v>608</v>
      </c>
      <c r="B229" s="2">
        <v>2</v>
      </c>
      <c r="C229">
        <f>_xlfn.XLOOKUP(A229,Merging2!A:A,Merging2!C:C,"",)</f>
        <v>0</v>
      </c>
      <c r="D229" t="str">
        <f t="shared" si="3"/>
        <v/>
      </c>
    </row>
    <row r="230" spans="1:4">
      <c r="A230" s="2" t="s">
        <v>609</v>
      </c>
      <c r="B230" s="2">
        <v>2</v>
      </c>
      <c r="C230">
        <f>_xlfn.XLOOKUP(A230,Merging2!A:A,Merging2!C:C,"",)</f>
        <v>0</v>
      </c>
      <c r="D230" t="str">
        <f t="shared" si="3"/>
        <v/>
      </c>
    </row>
    <row r="231" spans="1:4">
      <c r="A231" s="2" t="s">
        <v>610</v>
      </c>
      <c r="B231" s="2">
        <v>2</v>
      </c>
      <c r="C231">
        <f>_xlfn.XLOOKUP(A231,Merging2!A:A,Merging2!C:C,"",)</f>
        <v>0</v>
      </c>
      <c r="D231" t="str">
        <f t="shared" si="3"/>
        <v/>
      </c>
    </row>
    <row r="232" spans="1:4">
      <c r="A232" s="2" t="s">
        <v>611</v>
      </c>
      <c r="B232" s="2">
        <v>2</v>
      </c>
      <c r="C232">
        <f>_xlfn.XLOOKUP(A232,Merging2!A:A,Merging2!C:C,"",)</f>
        <v>0</v>
      </c>
      <c r="D232" t="str">
        <f t="shared" si="3"/>
        <v/>
      </c>
    </row>
    <row r="233" spans="1:4">
      <c r="A233" s="2" t="s">
        <v>612</v>
      </c>
      <c r="B233" s="2">
        <v>2</v>
      </c>
      <c r="C233">
        <f>_xlfn.XLOOKUP(A233,Merging2!A:A,Merging2!C:C,"",)</f>
        <v>0</v>
      </c>
      <c r="D233" t="str">
        <f t="shared" si="3"/>
        <v/>
      </c>
    </row>
    <row r="234" spans="1:4">
      <c r="A234" s="2" t="s">
        <v>613</v>
      </c>
      <c r="B234" s="2">
        <v>2</v>
      </c>
      <c r="C234">
        <f>_xlfn.XLOOKUP(A234,Merging2!A:A,Merging2!C:C,"",)</f>
        <v>0</v>
      </c>
      <c r="D234" t="str">
        <f t="shared" si="3"/>
        <v/>
      </c>
    </row>
    <row r="235" spans="1:4">
      <c r="A235" s="2" t="s">
        <v>614</v>
      </c>
      <c r="B235" s="2">
        <v>2</v>
      </c>
      <c r="C235">
        <f>_xlfn.XLOOKUP(A235,Merging2!A:A,Merging2!C:C,"",)</f>
        <v>0</v>
      </c>
      <c r="D235" t="str">
        <f t="shared" si="3"/>
        <v/>
      </c>
    </row>
    <row r="236" spans="1:4">
      <c r="A236" s="2" t="s">
        <v>615</v>
      </c>
      <c r="B236" s="2">
        <v>2</v>
      </c>
      <c r="C236" t="str">
        <f>_xlfn.XLOOKUP(A236,Merging2!A:A,Merging2!C:C,"",)</f>
        <v>x</v>
      </c>
      <c r="D236" t="str">
        <f t="shared" si="3"/>
        <v>x</v>
      </c>
    </row>
    <row r="237" spans="1:4">
      <c r="A237" s="2" t="s">
        <v>616</v>
      </c>
      <c r="B237" s="2">
        <v>2</v>
      </c>
      <c r="C237">
        <f>_xlfn.XLOOKUP(A237,Merging2!A:A,Merging2!C:C,"",)</f>
        <v>0</v>
      </c>
      <c r="D237" t="str">
        <f t="shared" si="3"/>
        <v/>
      </c>
    </row>
    <row r="238" spans="1:4">
      <c r="A238" s="2" t="s">
        <v>617</v>
      </c>
      <c r="B238" s="2">
        <v>2</v>
      </c>
      <c r="C238" t="str">
        <f>_xlfn.XLOOKUP(A238,Merging2!A:A,Merging2!C:C,"",)</f>
        <v>Iraq</v>
      </c>
      <c r="D238" t="str">
        <f t="shared" si="3"/>
        <v>Iraq</v>
      </c>
    </row>
    <row r="239" spans="1:4">
      <c r="A239" s="2" t="s">
        <v>618</v>
      </c>
      <c r="B239" s="2">
        <v>2</v>
      </c>
      <c r="C239">
        <f>_xlfn.XLOOKUP(A239,Merging2!A:A,Merging2!C:C,"",)</f>
        <v>0</v>
      </c>
      <c r="D239" t="str">
        <f t="shared" si="3"/>
        <v/>
      </c>
    </row>
    <row r="240" spans="1:4">
      <c r="A240" s="2" t="s">
        <v>619</v>
      </c>
      <c r="B240" s="2">
        <v>2</v>
      </c>
      <c r="C240">
        <f>_xlfn.XLOOKUP(A240,Merging2!A:A,Merging2!C:C,"",)</f>
        <v>0</v>
      </c>
      <c r="D240" t="str">
        <f t="shared" si="3"/>
        <v/>
      </c>
    </row>
    <row r="241" spans="1:4">
      <c r="A241" s="2" t="s">
        <v>620</v>
      </c>
      <c r="B241" s="2">
        <v>2</v>
      </c>
      <c r="C241">
        <f>_xlfn.XLOOKUP(A241,Merging2!A:A,Merging2!C:C,"",)</f>
        <v>0</v>
      </c>
      <c r="D241" t="str">
        <f t="shared" si="3"/>
        <v/>
      </c>
    </row>
    <row r="242" spans="1:4">
      <c r="A242" s="2" t="s">
        <v>621</v>
      </c>
      <c r="B242" s="2">
        <v>2</v>
      </c>
      <c r="C242">
        <f>_xlfn.XLOOKUP(A242,Merging2!A:A,Merging2!C:C,"",)</f>
        <v>0</v>
      </c>
      <c r="D242" t="str">
        <f t="shared" si="3"/>
        <v/>
      </c>
    </row>
    <row r="243" spans="1:4">
      <c r="A243" s="2" t="s">
        <v>622</v>
      </c>
      <c r="B243" s="2">
        <v>2</v>
      </c>
      <c r="C243">
        <f>_xlfn.XLOOKUP(A243,Merging2!A:A,Merging2!C:C,"",)</f>
        <v>0</v>
      </c>
      <c r="D243" t="str">
        <f t="shared" si="3"/>
        <v/>
      </c>
    </row>
    <row r="244" spans="1:4">
      <c r="A244" s="2" t="s">
        <v>623</v>
      </c>
      <c r="B244" s="2">
        <v>2</v>
      </c>
      <c r="C244">
        <f>_xlfn.XLOOKUP(A244,Merging2!A:A,Merging2!C:C,"",)</f>
        <v>0</v>
      </c>
      <c r="D244" t="str">
        <f t="shared" si="3"/>
        <v/>
      </c>
    </row>
    <row r="245" spans="1:4">
      <c r="A245" s="2" t="s">
        <v>624</v>
      </c>
      <c r="B245" s="2">
        <v>2</v>
      </c>
      <c r="C245">
        <f>_xlfn.XLOOKUP(A245,Merging2!A:A,Merging2!C:C,"",)</f>
        <v>0</v>
      </c>
      <c r="D245" t="str">
        <f t="shared" si="3"/>
        <v/>
      </c>
    </row>
    <row r="246" spans="1:4">
      <c r="A246" s="2" t="s">
        <v>625</v>
      </c>
      <c r="B246" s="2">
        <v>2</v>
      </c>
      <c r="C246">
        <f>_xlfn.XLOOKUP(A246,Merging2!A:A,Merging2!C:C,"",)</f>
        <v>0</v>
      </c>
      <c r="D246" t="str">
        <f t="shared" si="3"/>
        <v/>
      </c>
    </row>
    <row r="247" spans="1:4">
      <c r="A247" s="2" t="s">
        <v>626</v>
      </c>
      <c r="B247" s="2">
        <v>2</v>
      </c>
      <c r="C247">
        <f>_xlfn.XLOOKUP(A247,Merging2!A:A,Merging2!C:C,"",)</f>
        <v>0</v>
      </c>
      <c r="D247" t="str">
        <f t="shared" si="3"/>
        <v/>
      </c>
    </row>
    <row r="248" spans="1:4">
      <c r="A248" s="2" t="s">
        <v>627</v>
      </c>
      <c r="B248" s="2">
        <v>2</v>
      </c>
      <c r="C248">
        <f>_xlfn.XLOOKUP(A248,Merging2!A:A,Merging2!C:C,"",)</f>
        <v>0</v>
      </c>
      <c r="D248" t="str">
        <f t="shared" si="3"/>
        <v/>
      </c>
    </row>
    <row r="249" spans="1:4">
      <c r="A249" s="2" t="s">
        <v>628</v>
      </c>
      <c r="B249" s="2">
        <v>2</v>
      </c>
      <c r="C249">
        <f>_xlfn.XLOOKUP(A249,Merging2!A:A,Merging2!C:C,"",)</f>
        <v>0</v>
      </c>
      <c r="D249" t="str">
        <f t="shared" si="3"/>
        <v/>
      </c>
    </row>
    <row r="250" spans="1:4">
      <c r="A250" s="2" t="s">
        <v>629</v>
      </c>
      <c r="B250" s="2">
        <v>2</v>
      </c>
      <c r="C250">
        <f>_xlfn.XLOOKUP(A250,Merging2!A:A,Merging2!C:C,"",)</f>
        <v>0</v>
      </c>
      <c r="D250" t="str">
        <f t="shared" si="3"/>
        <v/>
      </c>
    </row>
    <row r="251" spans="1:4">
      <c r="A251" s="2" t="s">
        <v>630</v>
      </c>
      <c r="B251" s="2">
        <v>2</v>
      </c>
      <c r="C251">
        <f>_xlfn.XLOOKUP(A251,Merging2!A:A,Merging2!C:C,"",)</f>
        <v>0</v>
      </c>
      <c r="D251" t="str">
        <f t="shared" si="3"/>
        <v/>
      </c>
    </row>
    <row r="252" spans="1:4">
      <c r="A252" s="2" t="s">
        <v>631</v>
      </c>
      <c r="B252" s="2">
        <v>2</v>
      </c>
      <c r="C252">
        <f>_xlfn.XLOOKUP(A252,Merging2!A:A,Merging2!C:C,"",)</f>
        <v>0</v>
      </c>
      <c r="D252" t="str">
        <f t="shared" si="3"/>
        <v/>
      </c>
    </row>
    <row r="253" spans="1:4">
      <c r="A253" s="2" t="s">
        <v>632</v>
      </c>
      <c r="B253" s="2">
        <v>2</v>
      </c>
      <c r="C253" t="str">
        <f>_xlfn.XLOOKUP(A253,Merging2!A:A,Merging2!C:C,"",)</f>
        <v/>
      </c>
      <c r="D253" t="str">
        <f t="shared" si="3"/>
        <v/>
      </c>
    </row>
    <row r="254" spans="1:4">
      <c r="A254" s="2" t="s">
        <v>633</v>
      </c>
      <c r="B254" s="2">
        <v>2</v>
      </c>
      <c r="C254" t="str">
        <f>_xlfn.XLOOKUP(A254,Merging2!A:A,Merging2!C:C,"",)</f>
        <v>x</v>
      </c>
      <c r="D254" t="str">
        <f t="shared" si="3"/>
        <v>x</v>
      </c>
    </row>
    <row r="255" spans="1:4">
      <c r="A255" s="2" t="s">
        <v>634</v>
      </c>
      <c r="B255" s="2">
        <v>2</v>
      </c>
      <c r="C255">
        <f>_xlfn.XLOOKUP(A255,Merging2!A:A,Merging2!C:C,"",)</f>
        <v>0</v>
      </c>
      <c r="D255" t="str">
        <f t="shared" si="3"/>
        <v/>
      </c>
    </row>
    <row r="256" spans="1:4">
      <c r="A256" s="2" t="s">
        <v>635</v>
      </c>
      <c r="B256" s="2">
        <v>2</v>
      </c>
      <c r="C256">
        <f>_xlfn.XLOOKUP(A256,Merging2!A:A,Merging2!C:C,"",)</f>
        <v>0</v>
      </c>
      <c r="D256" t="str">
        <f t="shared" si="3"/>
        <v/>
      </c>
    </row>
    <row r="257" spans="1:4">
      <c r="A257" s="2" t="s">
        <v>636</v>
      </c>
      <c r="B257" s="2">
        <v>2</v>
      </c>
      <c r="C257">
        <f>_xlfn.XLOOKUP(A257,Merging2!A:A,Merging2!C:C,"",)</f>
        <v>0</v>
      </c>
      <c r="D257" t="str">
        <f t="shared" si="3"/>
        <v/>
      </c>
    </row>
    <row r="258" spans="1:4">
      <c r="A258" s="2" t="s">
        <v>637</v>
      </c>
      <c r="B258" s="2">
        <v>2</v>
      </c>
      <c r="C258">
        <f>_xlfn.XLOOKUP(A258,Merging2!A:A,Merging2!C:C,"",)</f>
        <v>0</v>
      </c>
      <c r="D258" t="str">
        <f t="shared" si="3"/>
        <v/>
      </c>
    </row>
    <row r="259" spans="1:4">
      <c r="A259" s="2" t="s">
        <v>638</v>
      </c>
      <c r="B259" s="2">
        <v>2</v>
      </c>
      <c r="C259">
        <f>_xlfn.XLOOKUP(A259,Merging2!A:A,Merging2!C:C,"",)</f>
        <v>0</v>
      </c>
      <c r="D259" t="str">
        <f t="shared" ref="D259:D322" si="4">IF(C259&lt;&gt;0,C259,"")</f>
        <v/>
      </c>
    </row>
    <row r="260" spans="1:4">
      <c r="A260" s="2" t="s">
        <v>639</v>
      </c>
      <c r="B260" s="2">
        <v>2</v>
      </c>
      <c r="C260">
        <f>_xlfn.XLOOKUP(A260,Merging2!A:A,Merging2!C:C,"",)</f>
        <v>0</v>
      </c>
      <c r="D260" t="str">
        <f t="shared" si="4"/>
        <v/>
      </c>
    </row>
    <row r="261" spans="1:4">
      <c r="A261" s="2" t="s">
        <v>337</v>
      </c>
      <c r="B261" s="2">
        <v>2</v>
      </c>
      <c r="C261">
        <f>_xlfn.XLOOKUP(A261,Merging2!A:A,Merging2!C:C,"",)</f>
        <v>0</v>
      </c>
      <c r="D261" t="str">
        <f t="shared" si="4"/>
        <v/>
      </c>
    </row>
    <row r="262" spans="1:4">
      <c r="A262" s="2" t="s">
        <v>640</v>
      </c>
      <c r="B262" s="2">
        <v>2</v>
      </c>
      <c r="C262">
        <f>_xlfn.XLOOKUP(A262,Merging2!A:A,Merging2!C:C,"",)</f>
        <v>0</v>
      </c>
      <c r="D262" t="str">
        <f t="shared" si="4"/>
        <v/>
      </c>
    </row>
    <row r="263" spans="1:4">
      <c r="A263" s="2" t="s">
        <v>641</v>
      </c>
      <c r="B263" s="2">
        <v>2</v>
      </c>
      <c r="C263">
        <f>_xlfn.XLOOKUP(A263,Merging2!A:A,Merging2!C:C,"",)</f>
        <v>0</v>
      </c>
      <c r="D263" t="str">
        <f t="shared" si="4"/>
        <v/>
      </c>
    </row>
    <row r="264" spans="1:4">
      <c r="A264" s="2" t="s">
        <v>642</v>
      </c>
      <c r="B264" s="2">
        <v>2</v>
      </c>
      <c r="C264">
        <f>_xlfn.XLOOKUP(A264,Merging2!A:A,Merging2!C:C,"",)</f>
        <v>0</v>
      </c>
      <c r="D264" t="str">
        <f t="shared" si="4"/>
        <v/>
      </c>
    </row>
    <row r="265" spans="1:4">
      <c r="A265" s="2" t="s">
        <v>643</v>
      </c>
      <c r="B265" s="2">
        <v>2</v>
      </c>
      <c r="C265" t="str">
        <f>_xlfn.XLOOKUP(A265,Merging2!A:A,Merging2!C:C,"",)</f>
        <v>x</v>
      </c>
      <c r="D265" t="str">
        <f t="shared" si="4"/>
        <v>x</v>
      </c>
    </row>
    <row r="266" spans="1:4">
      <c r="A266" s="2" t="s">
        <v>644</v>
      </c>
      <c r="B266" s="2">
        <v>2</v>
      </c>
      <c r="C266">
        <f>_xlfn.XLOOKUP(A266,Merging2!A:A,Merging2!C:C,"",)</f>
        <v>0</v>
      </c>
      <c r="D266" t="str">
        <f t="shared" si="4"/>
        <v/>
      </c>
    </row>
    <row r="267" spans="1:4">
      <c r="A267" s="2" t="s">
        <v>645</v>
      </c>
      <c r="B267" s="2">
        <v>2</v>
      </c>
      <c r="C267">
        <f>_xlfn.XLOOKUP(A267,Merging2!A:A,Merging2!C:C,"",)</f>
        <v>0</v>
      </c>
      <c r="D267" t="str">
        <f t="shared" si="4"/>
        <v/>
      </c>
    </row>
    <row r="268" spans="1:4">
      <c r="A268" s="2" t="s">
        <v>646</v>
      </c>
      <c r="B268" s="2">
        <v>2</v>
      </c>
      <c r="C268">
        <f>_xlfn.XLOOKUP(A268,Merging2!A:A,Merging2!C:C,"",)</f>
        <v>0</v>
      </c>
      <c r="D268" t="str">
        <f t="shared" si="4"/>
        <v/>
      </c>
    </row>
    <row r="269" spans="1:4">
      <c r="A269" s="2" t="s">
        <v>647</v>
      </c>
      <c r="B269" s="2">
        <v>2</v>
      </c>
      <c r="C269">
        <f>_xlfn.XLOOKUP(A269,Merging2!A:A,Merging2!C:C,"",)</f>
        <v>0</v>
      </c>
      <c r="D269" t="str">
        <f t="shared" si="4"/>
        <v/>
      </c>
    </row>
    <row r="270" spans="1:4">
      <c r="A270" s="2" t="s">
        <v>648</v>
      </c>
      <c r="B270" s="2">
        <v>2</v>
      </c>
      <c r="C270">
        <f>_xlfn.XLOOKUP(A270,Merging2!A:A,Merging2!C:C,"",)</f>
        <v>0</v>
      </c>
      <c r="D270" t="str">
        <f t="shared" si="4"/>
        <v/>
      </c>
    </row>
    <row r="271" spans="1:4">
      <c r="A271" s="2" t="s">
        <v>649</v>
      </c>
      <c r="B271" s="2">
        <v>2</v>
      </c>
      <c r="C271" t="str">
        <f>_xlfn.XLOOKUP(A271,Merging2!A:A,Merging2!C:C,"",)</f>
        <v>x</v>
      </c>
      <c r="D271" t="str">
        <f t="shared" si="4"/>
        <v>x</v>
      </c>
    </row>
    <row r="272" spans="1:4">
      <c r="A272" s="2" t="s">
        <v>650</v>
      </c>
      <c r="B272" s="2">
        <v>2</v>
      </c>
      <c r="C272">
        <f>_xlfn.XLOOKUP(A272,Merging2!A:A,Merging2!C:C,"",)</f>
        <v>0</v>
      </c>
      <c r="D272" t="str">
        <f t="shared" si="4"/>
        <v/>
      </c>
    </row>
    <row r="273" spans="1:4">
      <c r="A273" s="2" t="s">
        <v>651</v>
      </c>
      <c r="B273" s="2">
        <v>2</v>
      </c>
      <c r="C273">
        <f>_xlfn.XLOOKUP(A273,Merging2!A:A,Merging2!C:C,"",)</f>
        <v>0</v>
      </c>
      <c r="D273" t="str">
        <f t="shared" si="4"/>
        <v/>
      </c>
    </row>
    <row r="274" spans="1:4">
      <c r="A274" s="2" t="s">
        <v>652</v>
      </c>
      <c r="B274" s="2">
        <v>2</v>
      </c>
      <c r="C274">
        <f>_xlfn.XLOOKUP(A274,Merging2!A:A,Merging2!C:C,"",)</f>
        <v>0</v>
      </c>
      <c r="D274" t="str">
        <f t="shared" si="4"/>
        <v/>
      </c>
    </row>
    <row r="275" spans="1:4">
      <c r="A275" s="2" t="s">
        <v>653</v>
      </c>
      <c r="B275" s="2">
        <v>2</v>
      </c>
      <c r="C275">
        <f>_xlfn.XLOOKUP(A275,Merging2!A:A,Merging2!C:C,"",)</f>
        <v>0</v>
      </c>
      <c r="D275" t="str">
        <f t="shared" si="4"/>
        <v/>
      </c>
    </row>
    <row r="276" spans="1:4">
      <c r="A276" s="2" t="s">
        <v>654</v>
      </c>
      <c r="B276" s="2">
        <v>2</v>
      </c>
      <c r="C276">
        <f>_xlfn.XLOOKUP(A276,Merging2!A:A,Merging2!C:C,"",)</f>
        <v>0</v>
      </c>
      <c r="D276" t="str">
        <f t="shared" si="4"/>
        <v/>
      </c>
    </row>
    <row r="277" spans="1:4">
      <c r="A277" s="2" t="s">
        <v>655</v>
      </c>
      <c r="B277" s="2">
        <v>2</v>
      </c>
      <c r="C277">
        <f>_xlfn.XLOOKUP(A277,Merging2!A:A,Merging2!C:C,"",)</f>
        <v>0</v>
      </c>
      <c r="D277" t="str">
        <f t="shared" si="4"/>
        <v/>
      </c>
    </row>
    <row r="278" spans="1:4">
      <c r="A278" s="2" t="s">
        <v>656</v>
      </c>
      <c r="B278" s="2">
        <v>2</v>
      </c>
      <c r="C278" t="str">
        <f>_xlfn.XLOOKUP(A278,Merging2!A:A,Merging2!C:C,"",)</f>
        <v>x</v>
      </c>
      <c r="D278" t="str">
        <f t="shared" si="4"/>
        <v>x</v>
      </c>
    </row>
    <row r="279" spans="1:4">
      <c r="A279" s="2" t="s">
        <v>657</v>
      </c>
      <c r="B279" s="2">
        <v>2</v>
      </c>
      <c r="C279" t="str">
        <f>_xlfn.XLOOKUP(A279,Merging2!A:A,Merging2!C:C,"",)</f>
        <v>Russia</v>
      </c>
      <c r="D279" t="str">
        <f t="shared" si="4"/>
        <v>Russia</v>
      </c>
    </row>
    <row r="280" spans="1:4">
      <c r="A280" s="2" t="s">
        <v>658</v>
      </c>
      <c r="B280" s="2">
        <v>2</v>
      </c>
      <c r="C280">
        <f>_xlfn.XLOOKUP(A280,Merging2!A:A,Merging2!C:C,"",)</f>
        <v>0</v>
      </c>
      <c r="D280" t="str">
        <f t="shared" si="4"/>
        <v/>
      </c>
    </row>
    <row r="281" spans="1:4">
      <c r="A281" s="2" t="s">
        <v>659</v>
      </c>
      <c r="B281" s="2">
        <v>2</v>
      </c>
      <c r="C281">
        <f>_xlfn.XLOOKUP(A281,Merging2!A:A,Merging2!C:C,"",)</f>
        <v>0</v>
      </c>
      <c r="D281" t="str">
        <f t="shared" si="4"/>
        <v/>
      </c>
    </row>
    <row r="282" spans="1:4">
      <c r="A282" s="2" t="s">
        <v>660</v>
      </c>
      <c r="B282" s="2">
        <v>2</v>
      </c>
      <c r="C282">
        <f>_xlfn.XLOOKUP(A282,Merging2!A:A,Merging2!C:C,"",)</f>
        <v>0</v>
      </c>
      <c r="D282" t="str">
        <f t="shared" si="4"/>
        <v/>
      </c>
    </row>
    <row r="283" spans="1:4">
      <c r="A283" s="2" t="s">
        <v>661</v>
      </c>
      <c r="B283" s="2">
        <v>2</v>
      </c>
      <c r="C283">
        <f>_xlfn.XLOOKUP(A283,Merging2!A:A,Merging2!C:C,"",)</f>
        <v>0</v>
      </c>
      <c r="D283" t="str">
        <f t="shared" si="4"/>
        <v/>
      </c>
    </row>
    <row r="284" spans="1:4">
      <c r="A284" s="2" t="s">
        <v>662</v>
      </c>
      <c r="B284" s="2">
        <v>1</v>
      </c>
      <c r="C284">
        <f>_xlfn.XLOOKUP(A284,Merging2!A:A,Merging2!C:C,"",)</f>
        <v>0</v>
      </c>
      <c r="D284" t="str">
        <f t="shared" si="4"/>
        <v/>
      </c>
    </row>
    <row r="285" spans="1:4">
      <c r="A285" s="2" t="s">
        <v>663</v>
      </c>
      <c r="B285" s="2">
        <v>1</v>
      </c>
      <c r="C285">
        <f>_xlfn.XLOOKUP(A285,Merging2!A:A,Merging2!C:C,"",)</f>
        <v>0</v>
      </c>
      <c r="D285" t="str">
        <f t="shared" si="4"/>
        <v/>
      </c>
    </row>
    <row r="286" spans="1:4">
      <c r="A286" s="2" t="s">
        <v>664</v>
      </c>
      <c r="B286" s="2">
        <v>1</v>
      </c>
      <c r="C286">
        <f>_xlfn.XLOOKUP(A286,Merging2!A:A,Merging2!C:C,"",)</f>
        <v>0</v>
      </c>
      <c r="D286" t="str">
        <f t="shared" si="4"/>
        <v/>
      </c>
    </row>
    <row r="287" spans="1:4">
      <c r="A287" s="2" t="s">
        <v>665</v>
      </c>
      <c r="B287" s="2">
        <v>1</v>
      </c>
      <c r="C287">
        <f>_xlfn.XLOOKUP(A287,Merging2!A:A,Merging2!C:C,"",)</f>
        <v>0</v>
      </c>
      <c r="D287" t="str">
        <f t="shared" si="4"/>
        <v/>
      </c>
    </row>
    <row r="288" spans="1:4">
      <c r="A288" s="2" t="s">
        <v>666</v>
      </c>
      <c r="B288" s="2">
        <v>1</v>
      </c>
      <c r="C288">
        <f>_xlfn.XLOOKUP(A288,Merging2!A:A,Merging2!C:C,"",)</f>
        <v>0</v>
      </c>
      <c r="D288" t="str">
        <f t="shared" si="4"/>
        <v/>
      </c>
    </row>
    <row r="289" spans="1:4">
      <c r="A289" s="2" t="s">
        <v>667</v>
      </c>
      <c r="B289" s="2">
        <v>1</v>
      </c>
      <c r="C289">
        <f>_xlfn.XLOOKUP(A289,Merging2!A:A,Merging2!C:C,"",)</f>
        <v>0</v>
      </c>
      <c r="D289" t="str">
        <f t="shared" si="4"/>
        <v/>
      </c>
    </row>
    <row r="290" spans="1:4">
      <c r="A290" s="2" t="s">
        <v>668</v>
      </c>
      <c r="B290" s="2">
        <v>1</v>
      </c>
      <c r="C290">
        <f>_xlfn.XLOOKUP(A290,Merging2!A:A,Merging2!C:C,"",)</f>
        <v>0</v>
      </c>
      <c r="D290" t="str">
        <f t="shared" si="4"/>
        <v/>
      </c>
    </row>
    <row r="291" spans="1:4">
      <c r="A291" s="2" t="s">
        <v>669</v>
      </c>
      <c r="B291" s="2">
        <v>1</v>
      </c>
      <c r="C291" t="str">
        <f>_xlfn.XLOOKUP(A291,Merging2!A:A,Merging2!C:C,"",)</f>
        <v>Russia</v>
      </c>
      <c r="D291" t="str">
        <f t="shared" si="4"/>
        <v>Russia</v>
      </c>
    </row>
    <row r="292" spans="1:4">
      <c r="A292" s="2" t="s">
        <v>670</v>
      </c>
      <c r="B292" s="2">
        <v>1</v>
      </c>
      <c r="C292">
        <f>_xlfn.XLOOKUP(A292,Merging2!A:A,Merging2!C:C,"",)</f>
        <v>0</v>
      </c>
      <c r="D292" t="str">
        <f t="shared" si="4"/>
        <v/>
      </c>
    </row>
    <row r="293" spans="1:4">
      <c r="A293" s="2" t="s">
        <v>671</v>
      </c>
      <c r="B293" s="2">
        <v>1</v>
      </c>
      <c r="C293">
        <f>_xlfn.XLOOKUP(A293,Merging2!A:A,Merging2!C:C,"",)</f>
        <v>0</v>
      </c>
      <c r="D293" t="str">
        <f t="shared" si="4"/>
        <v/>
      </c>
    </row>
    <row r="294" spans="1:4">
      <c r="A294" s="2" t="s">
        <v>672</v>
      </c>
      <c r="B294" s="2">
        <v>1</v>
      </c>
      <c r="C294">
        <f>_xlfn.XLOOKUP(A294,Merging2!A:A,Merging2!C:C,"",)</f>
        <v>0</v>
      </c>
      <c r="D294" t="str">
        <f t="shared" si="4"/>
        <v/>
      </c>
    </row>
    <row r="295" spans="1:4">
      <c r="A295" s="2" t="s">
        <v>673</v>
      </c>
      <c r="B295" s="2">
        <v>1</v>
      </c>
      <c r="C295">
        <f>_xlfn.XLOOKUP(A295,Merging2!A:A,Merging2!C:C,"",)</f>
        <v>0</v>
      </c>
      <c r="D295" t="str">
        <f t="shared" si="4"/>
        <v/>
      </c>
    </row>
    <row r="296" spans="1:4">
      <c r="A296" s="2" t="s">
        <v>674</v>
      </c>
      <c r="B296" s="2">
        <v>1</v>
      </c>
      <c r="C296">
        <f>_xlfn.XLOOKUP(A296,Merging2!A:A,Merging2!C:C,"",)</f>
        <v>0</v>
      </c>
      <c r="D296" t="str">
        <f t="shared" si="4"/>
        <v/>
      </c>
    </row>
    <row r="297" spans="1:4">
      <c r="A297" s="2" t="s">
        <v>675</v>
      </c>
      <c r="B297" s="2">
        <v>1</v>
      </c>
      <c r="C297">
        <f>_xlfn.XLOOKUP(A297,Merging2!A:A,Merging2!C:C,"",)</f>
        <v>0</v>
      </c>
      <c r="D297" t="str">
        <f t="shared" si="4"/>
        <v/>
      </c>
    </row>
    <row r="298" spans="1:4">
      <c r="A298" s="2" t="s">
        <v>676</v>
      </c>
      <c r="B298" s="2">
        <v>1</v>
      </c>
      <c r="C298">
        <f>_xlfn.XLOOKUP(A298,Merging2!A:A,Merging2!C:C,"",)</f>
        <v>0</v>
      </c>
      <c r="D298" t="str">
        <f t="shared" si="4"/>
        <v/>
      </c>
    </row>
    <row r="299" spans="1:4">
      <c r="A299" s="2" t="s">
        <v>677</v>
      </c>
      <c r="B299" s="2">
        <v>1</v>
      </c>
      <c r="C299">
        <f>_xlfn.XLOOKUP(A299,Merging2!A:A,Merging2!C:C,"",)</f>
        <v>0</v>
      </c>
      <c r="D299" t="str">
        <f t="shared" si="4"/>
        <v/>
      </c>
    </row>
    <row r="300" spans="1:4">
      <c r="A300" s="2" t="s">
        <v>678</v>
      </c>
      <c r="B300" s="2">
        <v>1</v>
      </c>
      <c r="C300">
        <f>_xlfn.XLOOKUP(A300,Merging2!A:A,Merging2!C:C,"",)</f>
        <v>0</v>
      </c>
      <c r="D300" t="str">
        <f t="shared" si="4"/>
        <v/>
      </c>
    </row>
    <row r="301" spans="1:4">
      <c r="A301" s="2" t="s">
        <v>679</v>
      </c>
      <c r="B301" s="2">
        <v>1</v>
      </c>
      <c r="C301">
        <f>_xlfn.XLOOKUP(A301,Merging2!A:A,Merging2!C:C,"",)</f>
        <v>0</v>
      </c>
      <c r="D301" t="str">
        <f t="shared" si="4"/>
        <v/>
      </c>
    </row>
    <row r="302" spans="1:4">
      <c r="A302" s="2" t="s">
        <v>680</v>
      </c>
      <c r="B302" s="2">
        <v>1</v>
      </c>
      <c r="C302">
        <f>_xlfn.XLOOKUP(A302,Merging2!A:A,Merging2!C:C,"",)</f>
        <v>0</v>
      </c>
      <c r="D302" t="str">
        <f t="shared" si="4"/>
        <v/>
      </c>
    </row>
    <row r="303" spans="1:4">
      <c r="A303" s="2" t="s">
        <v>681</v>
      </c>
      <c r="B303" s="2">
        <v>1</v>
      </c>
      <c r="C303">
        <f>_xlfn.XLOOKUP(A303,Merging2!A:A,Merging2!C:C,"",)</f>
        <v>0</v>
      </c>
      <c r="D303" t="str">
        <f t="shared" si="4"/>
        <v/>
      </c>
    </row>
    <row r="304" spans="1:4">
      <c r="A304" s="2" t="s">
        <v>682</v>
      </c>
      <c r="B304" s="2">
        <v>1</v>
      </c>
      <c r="C304">
        <f>_xlfn.XLOOKUP(A304,Merging2!A:A,Merging2!C:C,"",)</f>
        <v>0</v>
      </c>
      <c r="D304" t="str">
        <f t="shared" si="4"/>
        <v/>
      </c>
    </row>
    <row r="305" spans="1:4">
      <c r="A305" s="2" t="s">
        <v>683</v>
      </c>
      <c r="B305" s="2">
        <v>1</v>
      </c>
      <c r="C305">
        <f>_xlfn.XLOOKUP(A305,Merging2!A:A,Merging2!C:C,"",)</f>
        <v>0</v>
      </c>
      <c r="D305" t="str">
        <f t="shared" si="4"/>
        <v/>
      </c>
    </row>
    <row r="306" spans="1:4">
      <c r="A306" s="2" t="s">
        <v>684</v>
      </c>
      <c r="B306" s="2">
        <v>1</v>
      </c>
      <c r="C306">
        <f>_xlfn.XLOOKUP(A306,Merging2!A:A,Merging2!C:C,"",)</f>
        <v>0</v>
      </c>
      <c r="D306" t="str">
        <f t="shared" si="4"/>
        <v/>
      </c>
    </row>
    <row r="307" spans="1:4">
      <c r="A307" s="2" t="s">
        <v>685</v>
      </c>
      <c r="B307" s="2">
        <v>1</v>
      </c>
      <c r="C307">
        <f>_xlfn.XLOOKUP(A307,Merging2!A:A,Merging2!C:C,"",)</f>
        <v>0</v>
      </c>
      <c r="D307" t="str">
        <f t="shared" si="4"/>
        <v/>
      </c>
    </row>
    <row r="308" spans="1:4">
      <c r="A308" s="2" t="s">
        <v>686</v>
      </c>
      <c r="B308" s="2">
        <v>1</v>
      </c>
      <c r="C308">
        <f>_xlfn.XLOOKUP(A308,Merging2!A:A,Merging2!C:C,"",)</f>
        <v>0</v>
      </c>
      <c r="D308" t="str">
        <f t="shared" si="4"/>
        <v/>
      </c>
    </row>
    <row r="309" spans="1:4">
      <c r="A309" s="2" t="s">
        <v>687</v>
      </c>
      <c r="B309" s="2">
        <v>1</v>
      </c>
      <c r="C309" t="str">
        <f>_xlfn.XLOOKUP(A309,Merging2!A:A,Merging2!C:C,"",)</f>
        <v/>
      </c>
      <c r="D309" t="str">
        <f t="shared" si="4"/>
        <v/>
      </c>
    </row>
    <row r="310" spans="1:4">
      <c r="A310" s="2" t="s">
        <v>688</v>
      </c>
      <c r="B310" s="2">
        <v>1</v>
      </c>
      <c r="C310">
        <f>_xlfn.XLOOKUP(A310,Merging2!A:A,Merging2!C:C,"",)</f>
        <v>0</v>
      </c>
      <c r="D310" t="str">
        <f t="shared" si="4"/>
        <v/>
      </c>
    </row>
    <row r="311" spans="1:4">
      <c r="A311" s="2" t="s">
        <v>689</v>
      </c>
      <c r="B311" s="2">
        <v>1</v>
      </c>
      <c r="C311">
        <f>_xlfn.XLOOKUP(A311,Merging2!A:A,Merging2!C:C,"",)</f>
        <v>0</v>
      </c>
      <c r="D311" t="str">
        <f t="shared" si="4"/>
        <v/>
      </c>
    </row>
    <row r="312" spans="1:4">
      <c r="A312" s="2" t="s">
        <v>690</v>
      </c>
      <c r="B312" s="2">
        <v>1</v>
      </c>
      <c r="C312">
        <f>_xlfn.XLOOKUP(A312,Merging2!A:A,Merging2!C:C,"",)</f>
        <v>0</v>
      </c>
      <c r="D312" t="str">
        <f t="shared" si="4"/>
        <v/>
      </c>
    </row>
    <row r="313" spans="1:4">
      <c r="A313" s="2" t="s">
        <v>691</v>
      </c>
      <c r="B313" s="2">
        <v>1</v>
      </c>
      <c r="C313">
        <f>_xlfn.XLOOKUP(A313,Merging2!A:A,Merging2!C:C,"",)</f>
        <v>0</v>
      </c>
      <c r="D313" t="str">
        <f t="shared" si="4"/>
        <v/>
      </c>
    </row>
    <row r="314" spans="1:4">
      <c r="A314" s="2" t="s">
        <v>692</v>
      </c>
      <c r="B314" s="2">
        <v>1</v>
      </c>
      <c r="C314">
        <f>_xlfn.XLOOKUP(A314,Merging2!A:A,Merging2!C:C,"",)</f>
        <v>0</v>
      </c>
      <c r="D314" t="str">
        <f t="shared" si="4"/>
        <v/>
      </c>
    </row>
    <row r="315" spans="1:4">
      <c r="A315" s="2" t="s">
        <v>693</v>
      </c>
      <c r="B315" s="2">
        <v>1</v>
      </c>
      <c r="C315">
        <f>_xlfn.XLOOKUP(A315,Merging2!A:A,Merging2!C:C,"",)</f>
        <v>0</v>
      </c>
      <c r="D315" t="str">
        <f t="shared" si="4"/>
        <v/>
      </c>
    </row>
    <row r="316" spans="1:4">
      <c r="A316" s="2" t="s">
        <v>694</v>
      </c>
      <c r="B316" s="2">
        <v>1</v>
      </c>
      <c r="C316">
        <f>_xlfn.XLOOKUP(A316,Merging2!A:A,Merging2!C:C,"",)</f>
        <v>0</v>
      </c>
      <c r="D316" t="str">
        <f t="shared" si="4"/>
        <v/>
      </c>
    </row>
    <row r="317" spans="1:4">
      <c r="A317" s="2" t="s">
        <v>695</v>
      </c>
      <c r="B317" s="2">
        <v>1</v>
      </c>
      <c r="C317" t="str">
        <f>_xlfn.XLOOKUP(A317,Merging2!A:A,Merging2!C:C,"",)</f>
        <v/>
      </c>
      <c r="D317" t="str">
        <f t="shared" si="4"/>
        <v/>
      </c>
    </row>
    <row r="318" spans="1:4">
      <c r="A318" s="2" t="s">
        <v>696</v>
      </c>
      <c r="B318" s="2">
        <v>1</v>
      </c>
      <c r="C318">
        <f>_xlfn.XLOOKUP(A318,Merging2!A:A,Merging2!C:C,"",)</f>
        <v>0</v>
      </c>
      <c r="D318" t="str">
        <f t="shared" si="4"/>
        <v/>
      </c>
    </row>
    <row r="319" spans="1:4">
      <c r="A319" s="2" t="s">
        <v>697</v>
      </c>
      <c r="B319" s="2">
        <v>1</v>
      </c>
      <c r="C319">
        <f>_xlfn.XLOOKUP(A319,Merging2!A:A,Merging2!C:C,"",)</f>
        <v>0</v>
      </c>
      <c r="D319" t="str">
        <f t="shared" si="4"/>
        <v/>
      </c>
    </row>
    <row r="320" spans="1:4">
      <c r="A320" s="2" t="s">
        <v>698</v>
      </c>
      <c r="B320" s="2">
        <v>1</v>
      </c>
      <c r="C320">
        <f>_xlfn.XLOOKUP(A320,Merging2!A:A,Merging2!C:C,"",)</f>
        <v>0</v>
      </c>
      <c r="D320" t="str">
        <f t="shared" si="4"/>
        <v/>
      </c>
    </row>
    <row r="321" spans="1:4">
      <c r="A321" s="2" t="s">
        <v>699</v>
      </c>
      <c r="B321" s="2">
        <v>1</v>
      </c>
      <c r="C321">
        <f>_xlfn.XLOOKUP(A321,Merging2!A:A,Merging2!C:C,"",)</f>
        <v>0</v>
      </c>
      <c r="D321" t="str">
        <f t="shared" si="4"/>
        <v/>
      </c>
    </row>
    <row r="322" spans="1:4">
      <c r="A322" s="2" t="s">
        <v>700</v>
      </c>
      <c r="B322" s="2">
        <v>1</v>
      </c>
      <c r="C322">
        <f>_xlfn.XLOOKUP(A322,Merging2!A:A,Merging2!C:C,"",)</f>
        <v>0</v>
      </c>
      <c r="D322" t="str">
        <f t="shared" si="4"/>
        <v/>
      </c>
    </row>
    <row r="323" spans="1:4">
      <c r="A323" s="2" t="s">
        <v>701</v>
      </c>
      <c r="B323" s="2">
        <v>1</v>
      </c>
      <c r="C323">
        <f>_xlfn.XLOOKUP(A323,Merging2!A:A,Merging2!C:C,"",)</f>
        <v>0</v>
      </c>
      <c r="D323" t="str">
        <f t="shared" ref="D323:D386" si="5">IF(C323&lt;&gt;0,C323,"")</f>
        <v/>
      </c>
    </row>
    <row r="324" spans="1:4">
      <c r="A324" s="2" t="s">
        <v>702</v>
      </c>
      <c r="B324" s="2">
        <v>1</v>
      </c>
      <c r="C324">
        <f>_xlfn.XLOOKUP(A324,Merging2!A:A,Merging2!C:C,"",)</f>
        <v>0</v>
      </c>
      <c r="D324" t="str">
        <f t="shared" si="5"/>
        <v/>
      </c>
    </row>
    <row r="325" spans="1:4">
      <c r="A325" s="2" t="s">
        <v>703</v>
      </c>
      <c r="B325" s="2">
        <v>1</v>
      </c>
      <c r="C325" t="str">
        <f>_xlfn.XLOOKUP(A325,Merging2!A:A,Merging2!C:C,"",)</f>
        <v/>
      </c>
      <c r="D325" t="str">
        <f t="shared" si="5"/>
        <v/>
      </c>
    </row>
    <row r="326" spans="1:4">
      <c r="A326" s="2" t="s">
        <v>704</v>
      </c>
      <c r="B326" s="2">
        <v>1</v>
      </c>
      <c r="C326">
        <f>_xlfn.XLOOKUP(A326,Merging2!A:A,Merging2!C:C,"",)</f>
        <v>0</v>
      </c>
      <c r="D326" t="str">
        <f t="shared" si="5"/>
        <v/>
      </c>
    </row>
    <row r="327" spans="1:4">
      <c r="A327" s="2" t="s">
        <v>705</v>
      </c>
      <c r="B327" s="2">
        <v>1</v>
      </c>
      <c r="C327">
        <f>_xlfn.XLOOKUP(A327,Merging2!A:A,Merging2!C:C,"",)</f>
        <v>0</v>
      </c>
      <c r="D327" t="str">
        <f t="shared" si="5"/>
        <v/>
      </c>
    </row>
    <row r="328" spans="1:4">
      <c r="A328" s="2" t="s">
        <v>706</v>
      </c>
      <c r="B328" s="2">
        <v>1</v>
      </c>
      <c r="C328">
        <f>_xlfn.XLOOKUP(A328,Merging2!A:A,Merging2!C:C,"",)</f>
        <v>0</v>
      </c>
      <c r="D328" t="str">
        <f t="shared" si="5"/>
        <v/>
      </c>
    </row>
    <row r="329" spans="1:4">
      <c r="A329" s="2" t="s">
        <v>707</v>
      </c>
      <c r="B329" s="2">
        <v>1</v>
      </c>
      <c r="C329">
        <f>_xlfn.XLOOKUP(A329,Merging2!A:A,Merging2!C:C,"",)</f>
        <v>0</v>
      </c>
      <c r="D329" t="str">
        <f t="shared" si="5"/>
        <v/>
      </c>
    </row>
    <row r="330" spans="1:4">
      <c r="A330" s="2" t="s">
        <v>708</v>
      </c>
      <c r="B330" s="2">
        <v>1</v>
      </c>
      <c r="C330">
        <f>_xlfn.XLOOKUP(A330,Merging2!A:A,Merging2!C:C,"",)</f>
        <v>0</v>
      </c>
      <c r="D330" t="str">
        <f t="shared" si="5"/>
        <v/>
      </c>
    </row>
    <row r="331" spans="1:4">
      <c r="A331" s="2" t="s">
        <v>709</v>
      </c>
      <c r="B331" s="2">
        <v>1</v>
      </c>
      <c r="C331">
        <f>_xlfn.XLOOKUP(A331,Merging2!A:A,Merging2!C:C,"",)</f>
        <v>0</v>
      </c>
      <c r="D331" t="str">
        <f t="shared" si="5"/>
        <v/>
      </c>
    </row>
    <row r="332" spans="1:4">
      <c r="A332" s="2" t="s">
        <v>710</v>
      </c>
      <c r="B332" s="2">
        <v>1</v>
      </c>
      <c r="C332">
        <f>_xlfn.XLOOKUP(A332,Merging2!A:A,Merging2!C:C,"",)</f>
        <v>0</v>
      </c>
      <c r="D332" t="str">
        <f t="shared" si="5"/>
        <v/>
      </c>
    </row>
    <row r="333" spans="1:4">
      <c r="A333" s="2" t="s">
        <v>711</v>
      </c>
      <c r="B333" s="2">
        <v>1</v>
      </c>
      <c r="C333">
        <f>_xlfn.XLOOKUP(A333,Merging2!A:A,Merging2!C:C,"",)</f>
        <v>0</v>
      </c>
      <c r="D333" t="str">
        <f t="shared" si="5"/>
        <v/>
      </c>
    </row>
    <row r="334" spans="1:4">
      <c r="A334" s="2" t="s">
        <v>712</v>
      </c>
      <c r="B334" s="2">
        <v>1</v>
      </c>
      <c r="C334">
        <f>_xlfn.XLOOKUP(A334,Merging2!A:A,Merging2!C:C,"",)</f>
        <v>0</v>
      </c>
      <c r="D334" t="str">
        <f t="shared" si="5"/>
        <v/>
      </c>
    </row>
    <row r="335" spans="1:4">
      <c r="A335" s="2" t="s">
        <v>713</v>
      </c>
      <c r="B335" s="2">
        <v>1</v>
      </c>
      <c r="C335">
        <f>_xlfn.XLOOKUP(A335,Merging2!A:A,Merging2!C:C,"",)</f>
        <v>0</v>
      </c>
      <c r="D335" t="str">
        <f t="shared" si="5"/>
        <v/>
      </c>
    </row>
    <row r="336" spans="1:4">
      <c r="A336" s="2" t="s">
        <v>714</v>
      </c>
      <c r="B336" s="2">
        <v>1</v>
      </c>
      <c r="C336" t="str">
        <f>_xlfn.XLOOKUP(A336,Merging2!A:A,Merging2!C:C,"",)</f>
        <v/>
      </c>
      <c r="D336" t="str">
        <f t="shared" si="5"/>
        <v/>
      </c>
    </row>
    <row r="337" spans="1:4">
      <c r="A337" s="2" t="s">
        <v>715</v>
      </c>
      <c r="B337" s="2">
        <v>1</v>
      </c>
      <c r="C337">
        <f>_xlfn.XLOOKUP(A337,Merging2!A:A,Merging2!C:C,"",)</f>
        <v>0</v>
      </c>
      <c r="D337" t="str">
        <f t="shared" si="5"/>
        <v/>
      </c>
    </row>
    <row r="338" spans="1:4">
      <c r="A338" s="2" t="s">
        <v>716</v>
      </c>
      <c r="B338" s="2">
        <v>1</v>
      </c>
      <c r="C338">
        <f>_xlfn.XLOOKUP(A338,Merging2!A:A,Merging2!C:C,"",)</f>
        <v>0</v>
      </c>
      <c r="D338" t="str">
        <f t="shared" si="5"/>
        <v/>
      </c>
    </row>
    <row r="339" spans="1:4">
      <c r="A339" s="2" t="s">
        <v>717</v>
      </c>
      <c r="B339" s="2">
        <v>1</v>
      </c>
      <c r="C339">
        <f>_xlfn.XLOOKUP(A339,Merging2!A:A,Merging2!C:C,"",)</f>
        <v>0</v>
      </c>
      <c r="D339" t="str">
        <f t="shared" si="5"/>
        <v/>
      </c>
    </row>
    <row r="340" spans="1:4">
      <c r="A340" s="2" t="s">
        <v>718</v>
      </c>
      <c r="B340" s="2">
        <v>1</v>
      </c>
      <c r="C340">
        <f>_xlfn.XLOOKUP(A340,Merging2!A:A,Merging2!C:C,"",)</f>
        <v>0</v>
      </c>
      <c r="D340" t="str">
        <f t="shared" si="5"/>
        <v/>
      </c>
    </row>
    <row r="341" spans="1:4">
      <c r="A341" s="2" t="s">
        <v>719</v>
      </c>
      <c r="B341" s="2">
        <v>1</v>
      </c>
      <c r="C341">
        <f>_xlfn.XLOOKUP(A341,Merging2!A:A,Merging2!C:C,"",)</f>
        <v>0</v>
      </c>
      <c r="D341" t="str">
        <f t="shared" si="5"/>
        <v/>
      </c>
    </row>
    <row r="342" spans="1:4">
      <c r="A342" s="2" t="s">
        <v>720</v>
      </c>
      <c r="B342" s="2">
        <v>1</v>
      </c>
      <c r="C342">
        <f>_xlfn.XLOOKUP(A342,Merging2!A:A,Merging2!C:C,"",)</f>
        <v>0</v>
      </c>
      <c r="D342" t="str">
        <f t="shared" si="5"/>
        <v/>
      </c>
    </row>
    <row r="343" spans="1:4">
      <c r="A343" s="2" t="s">
        <v>721</v>
      </c>
      <c r="B343" s="2">
        <v>1</v>
      </c>
      <c r="C343">
        <f>_xlfn.XLOOKUP(A343,Merging2!A:A,Merging2!C:C,"",)</f>
        <v>0</v>
      </c>
      <c r="D343" t="str">
        <f t="shared" si="5"/>
        <v/>
      </c>
    </row>
    <row r="344" spans="1:4">
      <c r="A344" s="2" t="s">
        <v>722</v>
      </c>
      <c r="B344" s="2">
        <v>1</v>
      </c>
      <c r="C344">
        <f>_xlfn.XLOOKUP(A344,Merging2!A:A,Merging2!C:C,"",)</f>
        <v>0</v>
      </c>
      <c r="D344" t="str">
        <f t="shared" si="5"/>
        <v/>
      </c>
    </row>
    <row r="345" spans="1:4">
      <c r="A345" s="2" t="s">
        <v>723</v>
      </c>
      <c r="B345" s="2">
        <v>1</v>
      </c>
      <c r="C345">
        <f>_xlfn.XLOOKUP(A345,Merging2!A:A,Merging2!C:C,"",)</f>
        <v>0</v>
      </c>
      <c r="D345" t="str">
        <f t="shared" si="5"/>
        <v/>
      </c>
    </row>
    <row r="346" spans="1:4">
      <c r="A346" s="2" t="s">
        <v>724</v>
      </c>
      <c r="B346" s="2">
        <v>1</v>
      </c>
      <c r="C346">
        <f>_xlfn.XLOOKUP(A346,Merging2!A:A,Merging2!C:C,"",)</f>
        <v>0</v>
      </c>
      <c r="D346" t="str">
        <f t="shared" si="5"/>
        <v/>
      </c>
    </row>
    <row r="347" spans="1:4">
      <c r="A347" s="2" t="s">
        <v>725</v>
      </c>
      <c r="B347" s="2">
        <v>1</v>
      </c>
      <c r="C347">
        <f>_xlfn.XLOOKUP(A347,Merging2!A:A,Merging2!C:C,"",)</f>
        <v>0</v>
      </c>
      <c r="D347" t="str">
        <f t="shared" si="5"/>
        <v/>
      </c>
    </row>
    <row r="348" spans="1:4">
      <c r="A348" s="2" t="s">
        <v>726</v>
      </c>
      <c r="B348" s="2">
        <v>1</v>
      </c>
      <c r="C348">
        <f>_xlfn.XLOOKUP(A348,Merging2!A:A,Merging2!C:C,"",)</f>
        <v>0</v>
      </c>
      <c r="D348" t="str">
        <f t="shared" si="5"/>
        <v/>
      </c>
    </row>
    <row r="349" spans="1:4">
      <c r="A349" s="2" t="s">
        <v>727</v>
      </c>
      <c r="B349" s="2">
        <v>1</v>
      </c>
      <c r="C349">
        <f>_xlfn.XLOOKUP(A349,Merging2!A:A,Merging2!C:C,"",)</f>
        <v>0</v>
      </c>
      <c r="D349" t="str">
        <f t="shared" si="5"/>
        <v/>
      </c>
    </row>
    <row r="350" spans="1:4">
      <c r="A350" s="2" t="s">
        <v>728</v>
      </c>
      <c r="B350" s="2">
        <v>1</v>
      </c>
      <c r="C350">
        <f>_xlfn.XLOOKUP(A350,Merging2!A:A,Merging2!C:C,"",)</f>
        <v>0</v>
      </c>
      <c r="D350" t="str">
        <f t="shared" si="5"/>
        <v/>
      </c>
    </row>
    <row r="351" spans="1:4">
      <c r="A351" s="2" t="s">
        <v>729</v>
      </c>
      <c r="B351" s="2">
        <v>1</v>
      </c>
      <c r="C351" t="str">
        <f>_xlfn.XLOOKUP(A351,Merging2!A:A,Merging2!C:C,"",)</f>
        <v/>
      </c>
      <c r="D351" t="str">
        <f t="shared" si="5"/>
        <v/>
      </c>
    </row>
    <row r="352" spans="1:4">
      <c r="A352" s="2" t="s">
        <v>730</v>
      </c>
      <c r="B352" s="2">
        <v>1</v>
      </c>
      <c r="C352">
        <f>_xlfn.XLOOKUP(A352,Merging2!A:A,Merging2!C:C,"",)</f>
        <v>0</v>
      </c>
      <c r="D352" t="str">
        <f t="shared" si="5"/>
        <v/>
      </c>
    </row>
    <row r="353" spans="1:4">
      <c r="A353" s="2" t="s">
        <v>731</v>
      </c>
      <c r="B353" s="2">
        <v>1</v>
      </c>
      <c r="C353" t="str">
        <f>_xlfn.XLOOKUP(A353,Merging2!A:A,Merging2!C:C,"",)</f>
        <v/>
      </c>
      <c r="D353" t="str">
        <f t="shared" si="5"/>
        <v/>
      </c>
    </row>
    <row r="354" spans="1:4">
      <c r="A354" s="2" t="s">
        <v>732</v>
      </c>
      <c r="B354" s="2">
        <v>1</v>
      </c>
      <c r="C354">
        <f>_xlfn.XLOOKUP(A354,Merging2!A:A,Merging2!C:C,"",)</f>
        <v>0</v>
      </c>
      <c r="D354" t="str">
        <f t="shared" si="5"/>
        <v/>
      </c>
    </row>
    <row r="355" spans="1:4">
      <c r="A355" s="2" t="s">
        <v>733</v>
      </c>
      <c r="B355" s="2">
        <v>1</v>
      </c>
      <c r="C355">
        <f>_xlfn.XLOOKUP(A355,Merging2!A:A,Merging2!C:C,"",)</f>
        <v>0</v>
      </c>
      <c r="D355" t="str">
        <f t="shared" si="5"/>
        <v/>
      </c>
    </row>
    <row r="356" spans="1:4">
      <c r="A356" s="2" t="s">
        <v>734</v>
      </c>
      <c r="B356" s="2">
        <v>1</v>
      </c>
      <c r="C356">
        <f>_xlfn.XLOOKUP(A356,Merging2!A:A,Merging2!C:C,"",)</f>
        <v>0</v>
      </c>
      <c r="D356" t="str">
        <f t="shared" si="5"/>
        <v/>
      </c>
    </row>
    <row r="357" spans="1:4">
      <c r="A357" s="2" t="s">
        <v>735</v>
      </c>
      <c r="B357" s="2">
        <v>1</v>
      </c>
      <c r="C357">
        <f>_xlfn.XLOOKUP(A357,Merging2!A:A,Merging2!C:C,"",)</f>
        <v>0</v>
      </c>
      <c r="D357" t="str">
        <f t="shared" si="5"/>
        <v/>
      </c>
    </row>
    <row r="358" spans="1:4">
      <c r="A358" s="2" t="s">
        <v>736</v>
      </c>
      <c r="B358" s="2">
        <v>1</v>
      </c>
      <c r="C358">
        <f>_xlfn.XLOOKUP(A358,Merging2!A:A,Merging2!C:C,"",)</f>
        <v>0</v>
      </c>
      <c r="D358" t="str">
        <f t="shared" si="5"/>
        <v/>
      </c>
    </row>
    <row r="359" spans="1:4">
      <c r="A359" s="2" t="s">
        <v>737</v>
      </c>
      <c r="B359" s="2">
        <v>1</v>
      </c>
      <c r="C359">
        <f>_xlfn.XLOOKUP(A359,Merging2!A:A,Merging2!C:C,"",)</f>
        <v>0</v>
      </c>
      <c r="D359" t="str">
        <f t="shared" si="5"/>
        <v/>
      </c>
    </row>
    <row r="360" spans="1:4">
      <c r="A360" s="2" t="s">
        <v>738</v>
      </c>
      <c r="B360" s="2">
        <v>1</v>
      </c>
      <c r="C360">
        <f>_xlfn.XLOOKUP(A360,Merging2!A:A,Merging2!C:C,"",)</f>
        <v>0</v>
      </c>
      <c r="D360" t="str">
        <f t="shared" si="5"/>
        <v/>
      </c>
    </row>
    <row r="361" spans="1:4">
      <c r="A361" s="2" t="s">
        <v>739</v>
      </c>
      <c r="B361" s="2">
        <v>1</v>
      </c>
      <c r="C361" t="str">
        <f>_xlfn.XLOOKUP(A361,Merging2!A:A,Merging2!C:C,"",)</f>
        <v/>
      </c>
      <c r="D361" t="str">
        <f t="shared" si="5"/>
        <v/>
      </c>
    </row>
    <row r="362" spans="1:4">
      <c r="A362" s="2" t="s">
        <v>740</v>
      </c>
      <c r="B362" s="2">
        <v>1</v>
      </c>
      <c r="C362" t="str">
        <f>_xlfn.XLOOKUP(A362,Merging2!A:A,Merging2!C:C,"",)</f>
        <v/>
      </c>
      <c r="D362" t="str">
        <f t="shared" si="5"/>
        <v/>
      </c>
    </row>
    <row r="363" spans="1:4">
      <c r="A363" s="2" t="s">
        <v>741</v>
      </c>
      <c r="B363" s="2">
        <v>1</v>
      </c>
      <c r="C363">
        <f>_xlfn.XLOOKUP(A363,Merging2!A:A,Merging2!C:C,"",)</f>
        <v>0</v>
      </c>
      <c r="D363" t="str">
        <f t="shared" si="5"/>
        <v/>
      </c>
    </row>
    <row r="364" spans="1:4">
      <c r="A364" s="2" t="s">
        <v>742</v>
      </c>
      <c r="B364" s="2">
        <v>1</v>
      </c>
      <c r="C364">
        <f>_xlfn.XLOOKUP(A364,Merging2!A:A,Merging2!C:C,"",)</f>
        <v>0</v>
      </c>
      <c r="D364" t="str">
        <f t="shared" si="5"/>
        <v/>
      </c>
    </row>
    <row r="365" spans="1:4">
      <c r="A365" s="2" t="s">
        <v>743</v>
      </c>
      <c r="B365" s="2">
        <v>1</v>
      </c>
      <c r="C365">
        <f>_xlfn.XLOOKUP(A365,Merging2!A:A,Merging2!C:C,"",)</f>
        <v>0</v>
      </c>
      <c r="D365" t="str">
        <f t="shared" si="5"/>
        <v/>
      </c>
    </row>
    <row r="366" spans="1:4">
      <c r="A366" s="2" t="s">
        <v>744</v>
      </c>
      <c r="B366" s="2">
        <v>1</v>
      </c>
      <c r="C366">
        <f>_xlfn.XLOOKUP(A366,Merging2!A:A,Merging2!C:C,"",)</f>
        <v>0</v>
      </c>
      <c r="D366" t="str">
        <f t="shared" si="5"/>
        <v/>
      </c>
    </row>
    <row r="367" spans="1:4">
      <c r="A367" s="2" t="s">
        <v>745</v>
      </c>
      <c r="B367" s="2">
        <v>1</v>
      </c>
      <c r="C367">
        <f>_xlfn.XLOOKUP(A367,Merging2!A:A,Merging2!C:C,"",)</f>
        <v>0</v>
      </c>
      <c r="D367" t="str">
        <f t="shared" si="5"/>
        <v/>
      </c>
    </row>
    <row r="368" spans="1:4">
      <c r="A368" s="2" t="s">
        <v>746</v>
      </c>
      <c r="B368" s="2">
        <v>1</v>
      </c>
      <c r="C368">
        <f>_xlfn.XLOOKUP(A368,Merging2!A:A,Merging2!C:C,"",)</f>
        <v>0</v>
      </c>
      <c r="D368" t="str">
        <f t="shared" si="5"/>
        <v/>
      </c>
    </row>
    <row r="369" spans="1:4">
      <c r="A369" s="2" t="s">
        <v>747</v>
      </c>
      <c r="B369" s="2">
        <v>1</v>
      </c>
      <c r="C369">
        <f>_xlfn.XLOOKUP(A369,Merging2!A:A,Merging2!C:C,"",)</f>
        <v>0</v>
      </c>
      <c r="D369" t="str">
        <f t="shared" si="5"/>
        <v/>
      </c>
    </row>
    <row r="370" spans="1:4">
      <c r="A370" s="2" t="s">
        <v>748</v>
      </c>
      <c r="B370" s="2">
        <v>1</v>
      </c>
      <c r="C370">
        <f>_xlfn.XLOOKUP(A370,Merging2!A:A,Merging2!C:C,"",)</f>
        <v>0</v>
      </c>
      <c r="D370" t="str">
        <f t="shared" si="5"/>
        <v/>
      </c>
    </row>
    <row r="371" spans="1:4">
      <c r="A371" s="2" t="s">
        <v>749</v>
      </c>
      <c r="B371" s="2">
        <v>1</v>
      </c>
      <c r="C371">
        <f>_xlfn.XLOOKUP(A371,Merging2!A:A,Merging2!C:C,"",)</f>
        <v>0</v>
      </c>
      <c r="D371" t="str">
        <f t="shared" si="5"/>
        <v/>
      </c>
    </row>
    <row r="372" spans="1:4">
      <c r="A372" s="2" t="s">
        <v>750</v>
      </c>
      <c r="B372" s="2">
        <v>1</v>
      </c>
      <c r="C372">
        <f>_xlfn.XLOOKUP(A372,Merging2!A:A,Merging2!C:C,"",)</f>
        <v>0</v>
      </c>
      <c r="D372" t="str">
        <f t="shared" si="5"/>
        <v/>
      </c>
    </row>
    <row r="373" spans="1:4">
      <c r="A373" s="2" t="s">
        <v>751</v>
      </c>
      <c r="B373" s="2">
        <v>1</v>
      </c>
      <c r="C373" t="str">
        <f>_xlfn.XLOOKUP(A373,Merging2!A:A,Merging2!C:C,"",)</f>
        <v>Turkey</v>
      </c>
      <c r="D373" t="str">
        <f t="shared" si="5"/>
        <v>Turkey</v>
      </c>
    </row>
    <row r="374" spans="1:4">
      <c r="A374" s="2" t="s">
        <v>752</v>
      </c>
      <c r="B374" s="2">
        <v>1</v>
      </c>
      <c r="C374">
        <f>_xlfn.XLOOKUP(A374,Merging2!A:A,Merging2!C:C,"",)</f>
        <v>0</v>
      </c>
      <c r="D374" t="str">
        <f t="shared" si="5"/>
        <v/>
      </c>
    </row>
    <row r="375" spans="1:4">
      <c r="A375" s="2" t="s">
        <v>753</v>
      </c>
      <c r="B375" s="2">
        <v>1</v>
      </c>
      <c r="C375">
        <f>_xlfn.XLOOKUP(A375,Merging2!A:A,Merging2!C:C,"",)</f>
        <v>0</v>
      </c>
      <c r="D375" t="str">
        <f t="shared" si="5"/>
        <v/>
      </c>
    </row>
    <row r="376" spans="1:4">
      <c r="A376" s="2" t="s">
        <v>754</v>
      </c>
      <c r="B376" s="2">
        <v>1</v>
      </c>
      <c r="C376">
        <f>_xlfn.XLOOKUP(A376,Merging2!A:A,Merging2!C:C,"",)</f>
        <v>0</v>
      </c>
      <c r="D376" t="str">
        <f t="shared" si="5"/>
        <v/>
      </c>
    </row>
    <row r="377" spans="1:4">
      <c r="A377" s="2" t="s">
        <v>755</v>
      </c>
      <c r="B377" s="2">
        <v>1</v>
      </c>
      <c r="C377">
        <f>_xlfn.XLOOKUP(A377,Merging2!A:A,Merging2!C:C,"",)</f>
        <v>0</v>
      </c>
      <c r="D377" t="str">
        <f t="shared" si="5"/>
        <v/>
      </c>
    </row>
    <row r="378" spans="1:4">
      <c r="A378" s="2" t="s">
        <v>756</v>
      </c>
      <c r="B378" s="2">
        <v>1</v>
      </c>
      <c r="C378">
        <f>_xlfn.XLOOKUP(A378,Merging2!A:A,Merging2!C:C,"",)</f>
        <v>0</v>
      </c>
      <c r="D378" t="str">
        <f t="shared" si="5"/>
        <v/>
      </c>
    </row>
    <row r="379" spans="1:4">
      <c r="A379" s="2" t="s">
        <v>757</v>
      </c>
      <c r="B379" s="2">
        <v>1</v>
      </c>
      <c r="C379">
        <f>_xlfn.XLOOKUP(A379,Merging2!A:A,Merging2!C:C,"",)</f>
        <v>0</v>
      </c>
      <c r="D379" t="str">
        <f t="shared" si="5"/>
        <v/>
      </c>
    </row>
    <row r="380" spans="1:4">
      <c r="A380" s="2" t="s">
        <v>758</v>
      </c>
      <c r="B380" s="2">
        <v>1</v>
      </c>
      <c r="C380">
        <f>_xlfn.XLOOKUP(A380,Merging2!A:A,Merging2!C:C,"",)</f>
        <v>0</v>
      </c>
      <c r="D380" t="str">
        <f t="shared" si="5"/>
        <v/>
      </c>
    </row>
    <row r="381" spans="1:4">
      <c r="A381" s="2" t="s">
        <v>759</v>
      </c>
      <c r="B381" s="2">
        <v>1</v>
      </c>
      <c r="C381">
        <f>_xlfn.XLOOKUP(A381,Merging2!A:A,Merging2!C:C,"",)</f>
        <v>0</v>
      </c>
      <c r="D381" t="str">
        <f t="shared" si="5"/>
        <v/>
      </c>
    </row>
    <row r="382" spans="1:4">
      <c r="A382" s="2" t="s">
        <v>760</v>
      </c>
      <c r="B382" s="2">
        <v>1</v>
      </c>
      <c r="C382">
        <f>_xlfn.XLOOKUP(A382,Merging2!A:A,Merging2!C:C,"",)</f>
        <v>0</v>
      </c>
      <c r="D382" t="str">
        <f t="shared" si="5"/>
        <v/>
      </c>
    </row>
    <row r="383" spans="1:4">
      <c r="A383" s="2" t="s">
        <v>761</v>
      </c>
      <c r="B383" s="2">
        <v>1</v>
      </c>
      <c r="C383">
        <f>_xlfn.XLOOKUP(A383,Merging2!A:A,Merging2!C:C,"",)</f>
        <v>0</v>
      </c>
      <c r="D383" t="str">
        <f t="shared" si="5"/>
        <v/>
      </c>
    </row>
    <row r="384" spans="1:4">
      <c r="A384" s="2" t="s">
        <v>762</v>
      </c>
      <c r="B384" s="2">
        <v>1</v>
      </c>
      <c r="C384">
        <f>_xlfn.XLOOKUP(A384,Merging2!A:A,Merging2!C:C,"",)</f>
        <v>0</v>
      </c>
      <c r="D384" t="str">
        <f t="shared" si="5"/>
        <v/>
      </c>
    </row>
    <row r="385" spans="1:4">
      <c r="A385" s="2" t="s">
        <v>763</v>
      </c>
      <c r="B385" s="2">
        <v>1</v>
      </c>
      <c r="C385">
        <f>_xlfn.XLOOKUP(A385,Merging2!A:A,Merging2!C:C,"",)</f>
        <v>0</v>
      </c>
      <c r="D385" t="str">
        <f t="shared" si="5"/>
        <v/>
      </c>
    </row>
    <row r="386" spans="1:4">
      <c r="A386" s="2" t="s">
        <v>764</v>
      </c>
      <c r="B386" s="2">
        <v>1</v>
      </c>
      <c r="C386">
        <f>_xlfn.XLOOKUP(A386,Merging2!A:A,Merging2!C:C,"",)</f>
        <v>0</v>
      </c>
      <c r="D386" t="str">
        <f t="shared" si="5"/>
        <v/>
      </c>
    </row>
    <row r="387" spans="1:4">
      <c r="A387" s="2" t="s">
        <v>765</v>
      </c>
      <c r="B387" s="2">
        <v>1</v>
      </c>
      <c r="C387">
        <f>_xlfn.XLOOKUP(A387,Merging2!A:A,Merging2!C:C,"",)</f>
        <v>0</v>
      </c>
      <c r="D387" t="str">
        <f t="shared" ref="D387:D401" si="6">IF(C387&lt;&gt;0,C387,"")</f>
        <v/>
      </c>
    </row>
    <row r="388" spans="1:4">
      <c r="A388" s="2" t="s">
        <v>766</v>
      </c>
      <c r="B388" s="2">
        <v>1</v>
      </c>
      <c r="C388">
        <f>_xlfn.XLOOKUP(A388,Merging2!A:A,Merging2!C:C,"",)</f>
        <v>0</v>
      </c>
      <c r="D388" t="str">
        <f t="shared" si="6"/>
        <v/>
      </c>
    </row>
    <row r="389" spans="1:4">
      <c r="A389" s="2" t="s">
        <v>767</v>
      </c>
      <c r="B389" s="2">
        <v>1</v>
      </c>
      <c r="C389">
        <f>_xlfn.XLOOKUP(A389,Merging2!A:A,Merging2!C:C,"",)</f>
        <v>0</v>
      </c>
      <c r="D389" t="str">
        <f t="shared" si="6"/>
        <v/>
      </c>
    </row>
    <row r="390" spans="1:4">
      <c r="A390" s="2" t="s">
        <v>768</v>
      </c>
      <c r="B390" s="2">
        <v>1</v>
      </c>
      <c r="C390">
        <f>_xlfn.XLOOKUP(A390,Merging2!A:A,Merging2!C:C,"",)</f>
        <v>0</v>
      </c>
      <c r="D390" t="str">
        <f t="shared" si="6"/>
        <v/>
      </c>
    </row>
    <row r="391" spans="1:4">
      <c r="A391" s="2" t="s">
        <v>769</v>
      </c>
      <c r="B391" s="2">
        <v>1</v>
      </c>
      <c r="C391">
        <f>_xlfn.XLOOKUP(A391,Merging2!A:A,Merging2!C:C,"",)</f>
        <v>0</v>
      </c>
      <c r="D391" t="str">
        <f t="shared" si="6"/>
        <v/>
      </c>
    </row>
    <row r="392" spans="1:4">
      <c r="A392" s="2" t="s">
        <v>770</v>
      </c>
      <c r="B392" s="2">
        <v>1</v>
      </c>
      <c r="C392">
        <f>_xlfn.XLOOKUP(A392,Merging2!A:A,Merging2!C:C,"",)</f>
        <v>0</v>
      </c>
      <c r="D392" t="str">
        <f t="shared" si="6"/>
        <v/>
      </c>
    </row>
    <row r="393" spans="1:4">
      <c r="A393" s="2" t="s">
        <v>771</v>
      </c>
      <c r="B393" s="2">
        <v>1</v>
      </c>
      <c r="C393">
        <f>_xlfn.XLOOKUP(A393,Merging2!A:A,Merging2!C:C,"",)</f>
        <v>0</v>
      </c>
      <c r="D393" t="str">
        <f t="shared" si="6"/>
        <v/>
      </c>
    </row>
    <row r="394" spans="1:4">
      <c r="A394" s="2" t="s">
        <v>772</v>
      </c>
      <c r="B394" s="2">
        <v>1</v>
      </c>
      <c r="C394" t="str">
        <f>_xlfn.XLOOKUP(A394,Merging2!A:A,Merging2!C:C,"",)</f>
        <v/>
      </c>
      <c r="D394" t="str">
        <f t="shared" si="6"/>
        <v/>
      </c>
    </row>
    <row r="395" spans="1:4">
      <c r="A395" s="2" t="s">
        <v>773</v>
      </c>
      <c r="B395" s="2">
        <v>1</v>
      </c>
      <c r="C395">
        <f>_xlfn.XLOOKUP(A395,Merging2!A:A,Merging2!C:C,"",)</f>
        <v>0</v>
      </c>
      <c r="D395" t="str">
        <f t="shared" si="6"/>
        <v/>
      </c>
    </row>
    <row r="396" spans="1:4">
      <c r="A396" s="2" t="s">
        <v>774</v>
      </c>
      <c r="B396" s="2">
        <v>1</v>
      </c>
      <c r="C396">
        <f>_xlfn.XLOOKUP(A396,Merging2!A:A,Merging2!C:C,"",)</f>
        <v>0</v>
      </c>
      <c r="D396" t="str">
        <f t="shared" si="6"/>
        <v/>
      </c>
    </row>
    <row r="397" spans="1:4">
      <c r="A397" s="2" t="s">
        <v>775</v>
      </c>
      <c r="B397" s="2">
        <v>1</v>
      </c>
      <c r="C397">
        <f>_xlfn.XLOOKUP(A397,Merging2!A:A,Merging2!C:C,"",)</f>
        <v>0</v>
      </c>
      <c r="D397" t="str">
        <f t="shared" si="6"/>
        <v/>
      </c>
    </row>
    <row r="398" spans="1:4">
      <c r="A398" s="2" t="s">
        <v>776</v>
      </c>
      <c r="B398" s="2">
        <v>1</v>
      </c>
      <c r="C398">
        <f>_xlfn.XLOOKUP(A398,Merging2!A:A,Merging2!C:C,"",)</f>
        <v>0</v>
      </c>
      <c r="D398" t="str">
        <f t="shared" si="6"/>
        <v/>
      </c>
    </row>
    <row r="399" spans="1:4">
      <c r="A399" s="2" t="s">
        <v>777</v>
      </c>
      <c r="B399" s="2">
        <v>1</v>
      </c>
      <c r="C399">
        <f>_xlfn.XLOOKUP(A399,Merging2!A:A,Merging2!C:C,"",)</f>
        <v>0</v>
      </c>
      <c r="D399" t="str">
        <f t="shared" si="6"/>
        <v/>
      </c>
    </row>
    <row r="400" spans="1:4">
      <c r="A400" s="2" t="s">
        <v>778</v>
      </c>
      <c r="B400" s="2">
        <v>1</v>
      </c>
      <c r="C400">
        <f>_xlfn.XLOOKUP(A400,Merging2!A:A,Merging2!C:C,"",)</f>
        <v>0</v>
      </c>
      <c r="D400" t="str">
        <f t="shared" si="6"/>
        <v/>
      </c>
    </row>
    <row r="401" spans="1:4">
      <c r="A401" s="2" t="s">
        <v>779</v>
      </c>
      <c r="B401" s="2">
        <v>1</v>
      </c>
      <c r="C401">
        <f>_xlfn.XLOOKUP(A401,Merging2!A:A,Merging2!C:C,"",)</f>
        <v>0</v>
      </c>
      <c r="D401" t="str">
        <f t="shared" si="6"/>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Original</vt:lpstr>
      <vt:lpstr>Merging2_New</vt:lpstr>
      <vt:lpstr>Merging2</vt:lpstr>
      <vt:lpstr>Merging2_backup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Tatiana Bielaková</dc:creator>
  <cp:keywords/>
  <dc:description/>
  <cp:lastModifiedBy>Tatiana Bielaková</cp:lastModifiedBy>
  <cp:revision/>
  <dcterms:created xsi:type="dcterms:W3CDTF">2024-10-28T22:32:55Z</dcterms:created>
  <dcterms:modified xsi:type="dcterms:W3CDTF">2026-10-07T08:10:09Z</dcterms:modified>
  <cp:category/>
  <cp:contentStatus/>
</cp:coreProperties>
</file>