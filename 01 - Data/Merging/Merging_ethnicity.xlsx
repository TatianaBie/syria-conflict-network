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bielakova/Dropbox/Syria Conflict Network/RA - Tatiana/01 - Data/Merging/"/>
    </mc:Choice>
  </mc:AlternateContent>
  <xr:revisionPtr revIDLastSave="0" documentId="13_ncr:1_{B7218716-1132-8E46-A044-243EFF7E931E}" xr6:coauthVersionLast="47" xr6:coauthVersionMax="47" xr10:uidLastSave="{00000000-0000-0000-0000-000000000000}"/>
  <bookViews>
    <workbookView xWindow="1480" yWindow="1740" windowWidth="27240" windowHeight="16080" xr2:uid="{FE316961-1A54-C148-AA49-CB0AD724CD19}"/>
  </bookViews>
  <sheets>
    <sheet name="MAIN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39" i="3"/>
  <c r="D38" i="3"/>
  <c r="D37" i="3"/>
  <c r="D36" i="3"/>
  <c r="D35" i="3"/>
  <c r="D33" i="3"/>
  <c r="D32" i="3"/>
  <c r="D31" i="3"/>
  <c r="D30" i="3"/>
  <c r="D29" i="3"/>
  <c r="D28" i="3"/>
  <c r="D27" i="3"/>
  <c r="D26" i="3"/>
  <c r="D25" i="3"/>
  <c r="D24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7" i="1"/>
  <c r="D8" i="1"/>
  <c r="D9" i="1"/>
  <c r="D11" i="1"/>
  <c r="D12" i="1"/>
  <c r="D17" i="1"/>
  <c r="D18" i="1"/>
  <c r="D24" i="1"/>
  <c r="D29" i="1"/>
  <c r="D30" i="1"/>
  <c r="D32" i="1"/>
  <c r="D35" i="1"/>
  <c r="D36" i="1"/>
  <c r="D37" i="1"/>
  <c r="D39" i="1"/>
  <c r="D4" i="1"/>
  <c r="D2" i="1"/>
</calcChain>
</file>

<file path=xl/sharedStrings.xml><?xml version="1.0" encoding="utf-8"?>
<sst xmlns="http://schemas.openxmlformats.org/spreadsheetml/2006/main" count="202" uniqueCount="73">
  <si>
    <t>name</t>
  </si>
  <si>
    <t>min</t>
  </si>
  <si>
    <t>max</t>
  </si>
  <si>
    <t>Ahrar al-Sham</t>
  </si>
  <si>
    <t>Aknaf Bait al-Maqdis</t>
  </si>
  <si>
    <t>Al Qaeda</t>
  </si>
  <si>
    <t>Authenticity and Development Front</t>
  </si>
  <si>
    <t>Civilians</t>
  </si>
  <si>
    <t>Faylaq al-Rahman</t>
  </si>
  <si>
    <t>Free Syrian Army</t>
  </si>
  <si>
    <t>HTS: Hayat Tahrir al-Sham</t>
  </si>
  <si>
    <t>Harakat Nour al-Din al-Zenki</t>
  </si>
  <si>
    <t>Hezbollah</t>
  </si>
  <si>
    <t>Iran</t>
  </si>
  <si>
    <t>Iraq</t>
  </si>
  <si>
    <t>Israel</t>
  </si>
  <si>
    <t>JTS: Syria Liberation Front</t>
  </si>
  <si>
    <t>Jaish al-Muhajireen wal-Ansar</t>
  </si>
  <si>
    <t>Jaysh al-Fatah</t>
  </si>
  <si>
    <t>Jaysh al-Islam</t>
  </si>
  <si>
    <t>Jaysh al-Sanadeed</t>
  </si>
  <si>
    <t>Kurdish Front</t>
  </si>
  <si>
    <t>Kurdish Islamic Front</t>
  </si>
  <si>
    <t>Liwa al-Fateh</t>
  </si>
  <si>
    <t>Liwa al-Tawhid</t>
  </si>
  <si>
    <t>Military Forces of Syria</t>
  </si>
  <si>
    <t>Mujahideen Army</t>
  </si>
  <si>
    <t>Mujahideen Shura Council</t>
  </si>
  <si>
    <t>Peoples Protection Units</t>
  </si>
  <si>
    <t>Popular Mobilization Forces</t>
  </si>
  <si>
    <t>Russia</t>
  </si>
  <si>
    <t>Sham Legion</t>
  </si>
  <si>
    <t>Suqour al-Sham</t>
  </si>
  <si>
    <t>Syrian Democratic Forces</t>
  </si>
  <si>
    <t>Syrian Insurgents</t>
  </si>
  <si>
    <t>The Islamic State</t>
  </si>
  <si>
    <t>The Levantine Front</t>
  </si>
  <si>
    <t>The Southern Front</t>
  </si>
  <si>
    <t>Turkey</t>
  </si>
  <si>
    <t>UK</t>
  </si>
  <si>
    <t>USA</t>
  </si>
  <si>
    <t>x</t>
  </si>
  <si>
    <t>Sunni</t>
  </si>
  <si>
    <t>Unknown-Mixed</t>
  </si>
  <si>
    <t>Big</t>
  </si>
  <si>
    <t>Ethnic</t>
  </si>
  <si>
    <t>Al-Tawhid Army</t>
  </si>
  <si>
    <t>Fawj Maghawir al Badiya</t>
  </si>
  <si>
    <t>Unknown-Mixed </t>
  </si>
  <si>
    <t>Free Syrian Police</t>
  </si>
  <si>
    <t>Ghuraba Al-Janob</t>
  </si>
  <si>
    <t>Global Coalition Against Daesh</t>
  </si>
  <si>
    <t>Secular</t>
  </si>
  <si>
    <t>Harakat Hezbollah al Nujaba</t>
  </si>
  <si>
    <t>Shia</t>
  </si>
  <si>
    <t>Islamist Militia</t>
  </si>
  <si>
    <t>Jaysh al-Ahrar</t>
  </si>
  <si>
    <t>Liwa al-Haqq (Dar'a)</t>
  </si>
  <si>
    <t>Military Forces of Iraq</t>
  </si>
  <si>
    <t>Opposition Rebels</t>
  </si>
  <si>
    <t>QSF: Qalamoon Shield Forces</t>
  </si>
  <si>
    <t>Shiite Muslim Militia (Syria)</t>
  </si>
  <si>
    <t>Syrian Elite Forces</t>
  </si>
  <si>
    <t>Union of the Forces of Jabal al Sheikh</t>
  </si>
  <si>
    <t>Ajnad al-Sham Islamic Union</t>
  </si>
  <si>
    <t>Kurdish</t>
  </si>
  <si>
    <t>Islamic State</t>
  </si>
  <si>
    <t>Tribal?</t>
  </si>
  <si>
    <t xml:space="preserve">Ethnicity - OLD </t>
  </si>
  <si>
    <t>Ethnicity</t>
  </si>
  <si>
    <t>Jewish</t>
  </si>
  <si>
    <t>Tribal</t>
  </si>
  <si>
    <t>pre-HTS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</si>
</sst>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86FD-0D8B-0C43-952D-896F262F74EC}">
  <dimension ref="A1:D42"/>
  <sheetViews>
    <sheetView tabSelected="1" topLeftCell="A18" workbookViewId="0">
      <selection activeCell="D40" sqref="D40"/>
    </sheetView>
  </sheetViews>
  <sheetFormatPr baseColWidth="10" defaultRowHeight="16" x14ac:dyDescent="0.2"/>
  <cols>
    <col min="1" max="1" width="21.1640625" customWidth="1"/>
    <col min="4" max="4" width="1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69</v>
      </c>
    </row>
    <row r="2" spans="1:4" x14ac:dyDescent="0.2">
      <c r="A2" s="1" t="s">
        <v>3</v>
      </c>
      <c r="B2" s="2">
        <v>2013</v>
      </c>
      <c r="C2" s="2">
        <v>2018</v>
      </c>
      <c r="D2" t="str">
        <f>_xlfn.XLOOKUP(A2,Sheet2!A:A,Sheet2!C:C,0,0)</f>
        <v>Sunni</v>
      </c>
    </row>
    <row r="3" spans="1:4" x14ac:dyDescent="0.2">
      <c r="A3" s="1" t="s">
        <v>4</v>
      </c>
      <c r="B3" s="2">
        <v>2015</v>
      </c>
      <c r="C3" s="2">
        <v>2018</v>
      </c>
      <c r="D3" t="s">
        <v>42</v>
      </c>
    </row>
    <row r="4" spans="1:4" x14ac:dyDescent="0.2">
      <c r="A4" s="1" t="s">
        <v>5</v>
      </c>
      <c r="B4" s="2">
        <v>2014</v>
      </c>
      <c r="C4" s="2">
        <v>2023</v>
      </c>
      <c r="D4" t="str">
        <f>_xlfn.XLOOKUP(A4,Sheet2!A:A,Sheet2!C:C,0,0)</f>
        <v>Sunni</v>
      </c>
    </row>
    <row r="5" spans="1:4" x14ac:dyDescent="0.2">
      <c r="A5" s="1" t="s">
        <v>6</v>
      </c>
      <c r="B5" s="2">
        <v>2014</v>
      </c>
      <c r="C5" s="2">
        <v>2016</v>
      </c>
      <c r="D5" t="s">
        <v>42</v>
      </c>
    </row>
    <row r="6" spans="1:4" x14ac:dyDescent="0.2">
      <c r="A6" s="1" t="s">
        <v>7</v>
      </c>
      <c r="B6" s="2">
        <v>2004</v>
      </c>
      <c r="C6" s="2">
        <v>2023</v>
      </c>
      <c r="D6" t="s">
        <v>43</v>
      </c>
    </row>
    <row r="7" spans="1:4" x14ac:dyDescent="0.2">
      <c r="A7" s="1" t="s">
        <v>8</v>
      </c>
      <c r="B7" s="2">
        <v>2015</v>
      </c>
      <c r="C7" s="2">
        <v>2018</v>
      </c>
      <c r="D7" t="str">
        <f>_xlfn.XLOOKUP(A7,Sheet2!A:A,Sheet2!C:C,0,0)</f>
        <v>Sunni</v>
      </c>
    </row>
    <row r="8" spans="1:4" x14ac:dyDescent="0.2">
      <c r="A8" s="1" t="s">
        <v>9</v>
      </c>
      <c r="B8" s="2">
        <v>2012</v>
      </c>
      <c r="C8" s="2">
        <v>2023</v>
      </c>
      <c r="D8" t="str">
        <f>_xlfn.XLOOKUP(A8,Sheet2!A:A,Sheet2!C:C,0,0)</f>
        <v>Sunni</v>
      </c>
    </row>
    <row r="9" spans="1:4" x14ac:dyDescent="0.2">
      <c r="A9" s="1" t="s">
        <v>10</v>
      </c>
      <c r="B9" s="2">
        <v>2012</v>
      </c>
      <c r="C9" s="2">
        <v>2024</v>
      </c>
      <c r="D9" t="str">
        <f>_xlfn.XLOOKUP(A9,Sheet2!A:A,Sheet2!C:C,0,0)</f>
        <v>Sunni</v>
      </c>
    </row>
    <row r="10" spans="1:4" x14ac:dyDescent="0.2">
      <c r="A10" s="1" t="s">
        <v>11</v>
      </c>
      <c r="B10" s="2">
        <v>2014</v>
      </c>
      <c r="C10" s="2">
        <v>2018</v>
      </c>
      <c r="D10" t="s">
        <v>42</v>
      </c>
    </row>
    <row r="11" spans="1:4" x14ac:dyDescent="0.2">
      <c r="A11" s="1" t="s">
        <v>12</v>
      </c>
      <c r="B11" s="2">
        <v>2008</v>
      </c>
      <c r="C11" s="2">
        <v>2024</v>
      </c>
      <c r="D11" t="str">
        <f>_xlfn.XLOOKUP(A11,Sheet2!A:A,Sheet2!C:C,0,0)</f>
        <v>Shia</v>
      </c>
    </row>
    <row r="12" spans="1:4" x14ac:dyDescent="0.2">
      <c r="A12" s="1" t="s">
        <v>13</v>
      </c>
      <c r="B12" s="2">
        <v>2017</v>
      </c>
      <c r="C12" s="2">
        <v>2024</v>
      </c>
      <c r="D12" t="str">
        <f>_xlfn.XLOOKUP(A12,Sheet2!A:A,Sheet2!C:C,0,0)</f>
        <v>Shia</v>
      </c>
    </row>
    <row r="13" spans="1:4" x14ac:dyDescent="0.2">
      <c r="A13" s="1" t="s">
        <v>14</v>
      </c>
      <c r="B13" s="2">
        <v>2013</v>
      </c>
      <c r="C13" s="2">
        <v>2020</v>
      </c>
      <c r="D13" t="s">
        <v>54</v>
      </c>
    </row>
    <row r="14" spans="1:4" x14ac:dyDescent="0.2">
      <c r="A14" s="1" t="s">
        <v>15</v>
      </c>
      <c r="B14" s="2">
        <v>2004</v>
      </c>
      <c r="C14" s="2">
        <v>2024</v>
      </c>
      <c r="D14" t="s">
        <v>70</v>
      </c>
    </row>
    <row r="15" spans="1:4" x14ac:dyDescent="0.2">
      <c r="A15" s="1" t="s">
        <v>16</v>
      </c>
      <c r="B15" s="2">
        <v>2018</v>
      </c>
      <c r="C15" s="2">
        <v>2018</v>
      </c>
      <c r="D15" t="s">
        <v>42</v>
      </c>
    </row>
    <row r="16" spans="1:4" x14ac:dyDescent="0.2">
      <c r="A16" s="1" t="s">
        <v>17</v>
      </c>
      <c r="B16" s="2">
        <v>2014</v>
      </c>
      <c r="C16" s="2">
        <v>2014</v>
      </c>
      <c r="D16" t="s">
        <v>42</v>
      </c>
    </row>
    <row r="17" spans="1:4" x14ac:dyDescent="0.2">
      <c r="A17" s="1" t="s">
        <v>18</v>
      </c>
      <c r="B17" s="2">
        <v>2015</v>
      </c>
      <c r="C17" s="2">
        <v>2016</v>
      </c>
      <c r="D17" t="str">
        <f>_xlfn.XLOOKUP(A17,Sheet2!A:A,Sheet2!C:C,0,0)</f>
        <v>Sunni</v>
      </c>
    </row>
    <row r="18" spans="1:4" x14ac:dyDescent="0.2">
      <c r="A18" s="1" t="s">
        <v>19</v>
      </c>
      <c r="B18" s="2">
        <v>2013</v>
      </c>
      <c r="C18" s="2">
        <v>2018</v>
      </c>
      <c r="D18" t="str">
        <f>_xlfn.XLOOKUP(A18,Sheet2!A:A,Sheet2!C:C,0,0)</f>
        <v>Sunni</v>
      </c>
    </row>
    <row r="19" spans="1:4" x14ac:dyDescent="0.2">
      <c r="A19" s="1" t="s">
        <v>20</v>
      </c>
      <c r="B19" s="2">
        <v>2014</v>
      </c>
      <c r="C19" s="2">
        <v>2015</v>
      </c>
      <c r="D19" t="s">
        <v>71</v>
      </c>
    </row>
    <row r="20" spans="1:4" x14ac:dyDescent="0.2">
      <c r="A20" s="1" t="s">
        <v>21</v>
      </c>
      <c r="B20" s="2">
        <v>2013</v>
      </c>
      <c r="C20" s="2">
        <v>2014</v>
      </c>
      <c r="D20" t="s">
        <v>65</v>
      </c>
    </row>
    <row r="21" spans="1:4" x14ac:dyDescent="0.2">
      <c r="A21" s="1" t="s">
        <v>22</v>
      </c>
      <c r="B21" s="2">
        <v>2013</v>
      </c>
      <c r="C21" s="2">
        <v>2013</v>
      </c>
      <c r="D21" t="s">
        <v>65</v>
      </c>
    </row>
    <row r="22" spans="1:4" x14ac:dyDescent="0.2">
      <c r="A22" s="1" t="s">
        <v>23</v>
      </c>
      <c r="B22" s="2">
        <v>2013</v>
      </c>
      <c r="C22" s="2">
        <v>2013</v>
      </c>
      <c r="D22" t="s">
        <v>42</v>
      </c>
    </row>
    <row r="23" spans="1:4" x14ac:dyDescent="0.2">
      <c r="A23" s="1" t="s">
        <v>24</v>
      </c>
      <c r="B23" s="2">
        <v>2013</v>
      </c>
      <c r="C23" s="2">
        <v>2014</v>
      </c>
      <c r="D23" t="s">
        <v>42</v>
      </c>
    </row>
    <row r="24" spans="1:4" x14ac:dyDescent="0.2">
      <c r="A24" s="1" t="s">
        <v>25</v>
      </c>
      <c r="B24" s="2">
        <v>2004</v>
      </c>
      <c r="C24" s="2">
        <v>2024</v>
      </c>
      <c r="D24" t="str">
        <f>_xlfn.XLOOKUP(A24,Sheet2!A:A,Sheet2!C:C,0,0)</f>
        <v>Shia</v>
      </c>
    </row>
    <row r="25" spans="1:4" x14ac:dyDescent="0.2">
      <c r="A25" s="1" t="s">
        <v>26</v>
      </c>
      <c r="B25" s="2">
        <v>2014</v>
      </c>
      <c r="C25" s="2">
        <v>2014</v>
      </c>
      <c r="D25" t="s">
        <v>42</v>
      </c>
    </row>
    <row r="26" spans="1:4" x14ac:dyDescent="0.2">
      <c r="A26" s="1" t="s">
        <v>27</v>
      </c>
      <c r="B26" s="2">
        <v>2014</v>
      </c>
      <c r="C26" s="2">
        <v>2014</v>
      </c>
      <c r="D26" t="s">
        <v>42</v>
      </c>
    </row>
    <row r="27" spans="1:4" x14ac:dyDescent="0.2">
      <c r="A27" s="1" t="s">
        <v>28</v>
      </c>
      <c r="B27" s="2">
        <v>2011</v>
      </c>
      <c r="C27" s="2">
        <v>2022</v>
      </c>
      <c r="D27" t="s">
        <v>65</v>
      </c>
    </row>
    <row r="28" spans="1:4" x14ac:dyDescent="0.2">
      <c r="A28" s="1" t="s">
        <v>29</v>
      </c>
      <c r="B28" s="2">
        <v>2017</v>
      </c>
      <c r="C28" s="2">
        <v>2022</v>
      </c>
      <c r="D28" t="s">
        <v>54</v>
      </c>
    </row>
    <row r="29" spans="1:4" x14ac:dyDescent="0.2">
      <c r="A29" s="1" t="s">
        <v>30</v>
      </c>
      <c r="B29" s="2">
        <v>2015</v>
      </c>
      <c r="C29" s="2">
        <v>2024</v>
      </c>
      <c r="D29" t="str">
        <f>_xlfn.XLOOKUP(A29,Sheet2!A:A,Sheet2!C:C,0,0)</f>
        <v>Secular</v>
      </c>
    </row>
    <row r="30" spans="1:4" x14ac:dyDescent="0.2">
      <c r="A30" s="1" t="s">
        <v>31</v>
      </c>
      <c r="B30" s="2">
        <v>2014</v>
      </c>
      <c r="C30" s="2">
        <v>2018</v>
      </c>
      <c r="D30" t="str">
        <f>_xlfn.XLOOKUP(A30,Sheet2!A:A,Sheet2!C:C,0,0)</f>
        <v>Sunni</v>
      </c>
    </row>
    <row r="31" spans="1:4" x14ac:dyDescent="0.2">
      <c r="A31" s="1" t="s">
        <v>32</v>
      </c>
      <c r="B31" s="2">
        <v>2018</v>
      </c>
      <c r="C31" s="2">
        <v>2018</v>
      </c>
      <c r="D31" t="s">
        <v>42</v>
      </c>
    </row>
    <row r="32" spans="1:4" x14ac:dyDescent="0.2">
      <c r="A32" s="1" t="s">
        <v>33</v>
      </c>
      <c r="B32" s="2">
        <v>2014</v>
      </c>
      <c r="C32" s="2">
        <v>2024</v>
      </c>
      <c r="D32" t="str">
        <f>_xlfn.XLOOKUP(A32,Sheet2!A:A,Sheet2!C:C,0,0)</f>
        <v>Kurdish</v>
      </c>
    </row>
    <row r="33" spans="1:4" x14ac:dyDescent="0.2">
      <c r="A33" s="1" t="s">
        <v>34</v>
      </c>
      <c r="B33" s="2">
        <v>2011</v>
      </c>
      <c r="C33" s="2">
        <v>2023</v>
      </c>
      <c r="D33" t="s">
        <v>43</v>
      </c>
    </row>
    <row r="34" spans="1:4" x14ac:dyDescent="0.2">
      <c r="A34" s="1" t="s">
        <v>35</v>
      </c>
      <c r="B34" s="2">
        <v>2013</v>
      </c>
      <c r="C34" s="2">
        <v>2024</v>
      </c>
      <c r="D34" t="s">
        <v>42</v>
      </c>
    </row>
    <row r="35" spans="1:4" x14ac:dyDescent="0.2">
      <c r="A35" s="1" t="s">
        <v>36</v>
      </c>
      <c r="B35" s="2">
        <v>2014</v>
      </c>
      <c r="C35" s="2">
        <v>2018</v>
      </c>
      <c r="D35" t="str">
        <f>_xlfn.XLOOKUP(A35,Sheet2!A:A,Sheet2!C:C,0,0)</f>
        <v>Sunni</v>
      </c>
    </row>
    <row r="36" spans="1:4" x14ac:dyDescent="0.2">
      <c r="A36" s="1" t="s">
        <v>37</v>
      </c>
      <c r="B36" s="2">
        <v>2013</v>
      </c>
      <c r="C36" s="2">
        <v>2018</v>
      </c>
      <c r="D36" t="str">
        <f>_xlfn.XLOOKUP(A36,Sheet2!A:A,Sheet2!C:C,0,0)</f>
        <v>Secular</v>
      </c>
    </row>
    <row r="37" spans="1:4" x14ac:dyDescent="0.2">
      <c r="A37" s="1" t="s">
        <v>38</v>
      </c>
      <c r="B37" s="2">
        <v>2015</v>
      </c>
      <c r="C37" s="2">
        <v>2023</v>
      </c>
      <c r="D37" t="str">
        <f>_xlfn.XLOOKUP(A37,Sheet2!A:A,Sheet2!C:C,0,0)</f>
        <v>Sunni</v>
      </c>
    </row>
    <row r="38" spans="1:4" x14ac:dyDescent="0.2">
      <c r="A38" s="1" t="s">
        <v>39</v>
      </c>
      <c r="B38" s="2">
        <v>2017</v>
      </c>
      <c r="C38" s="2">
        <v>2018</v>
      </c>
      <c r="D38" t="s">
        <v>52</v>
      </c>
    </row>
    <row r="39" spans="1:4" x14ac:dyDescent="0.2">
      <c r="A39" s="1" t="s">
        <v>40</v>
      </c>
      <c r="B39" s="2">
        <v>2014</v>
      </c>
      <c r="C39" s="2">
        <v>2024</v>
      </c>
      <c r="D39" t="str">
        <f>_xlfn.XLOOKUP(A39,Sheet2!A:A,Sheet2!C:C,0,0)</f>
        <v>Secular</v>
      </c>
    </row>
    <row r="40" spans="1:4" x14ac:dyDescent="0.2">
      <c r="A40" s="1" t="s">
        <v>72</v>
      </c>
      <c r="B40" s="2">
        <v>2011</v>
      </c>
      <c r="C40" s="2">
        <v>2017</v>
      </c>
      <c r="D40" t="s">
        <v>42</v>
      </c>
    </row>
    <row r="41" spans="1:4" x14ac:dyDescent="0.2">
      <c r="A41" s="1" t="inlineStr">
        <is>
          <t>Global Coalition Against Daesh</t>
        </is>
      </c>
      <c r="B41" s="2">
        <v>2017</v>
      </c>
      <c r="C41" s="2">
        <v>2024</v>
      </c>
      <c r="D41" t="inlineStr">
        <is>
          <t>Secular</t>
        </is>
      </c>
    </row>
    <row r="42" spans="1:4" x14ac:dyDescent="0.2">
      <c r="A42" s="1" t="inlineStr">
        <is>
          <t>Khalid ibn al Walid Army</t>
        </is>
      </c>
      <c r="B42" s="2">
        <v>2017</v>
      </c>
      <c r="C42" s="2">
        <v>2024</v>
      </c>
      <c r="D42" t="inlineStr">
        <is>
          <t>Sunni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7A35-35CC-BB4F-A453-729BC22BCAD0}">
  <dimension ref="A1:C35"/>
  <sheetViews>
    <sheetView workbookViewId="0">
      <selection sqref="A1:C3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44</v>
      </c>
      <c r="C1" s="1" t="s">
        <v>45</v>
      </c>
    </row>
    <row r="2" spans="1:3" x14ac:dyDescent="0.2">
      <c r="A2" s="1" t="s">
        <v>46</v>
      </c>
      <c r="B2" s="2">
        <v>1</v>
      </c>
      <c r="C2" s="2" t="s">
        <v>42</v>
      </c>
    </row>
    <row r="3" spans="1:3" x14ac:dyDescent="0.2">
      <c r="A3" s="1" t="s">
        <v>47</v>
      </c>
      <c r="B3" s="2">
        <v>0</v>
      </c>
      <c r="C3" s="2" t="s">
        <v>48</v>
      </c>
    </row>
    <row r="4" spans="1:3" x14ac:dyDescent="0.2">
      <c r="A4" s="1" t="s">
        <v>8</v>
      </c>
      <c r="B4" s="2">
        <v>1</v>
      </c>
      <c r="C4" s="2" t="s">
        <v>42</v>
      </c>
    </row>
    <row r="5" spans="1:3" x14ac:dyDescent="0.2">
      <c r="A5" s="1" t="s">
        <v>49</v>
      </c>
      <c r="B5" s="2">
        <v>0</v>
      </c>
      <c r="C5" s="2" t="s">
        <v>43</v>
      </c>
    </row>
    <row r="6" spans="1:3" x14ac:dyDescent="0.2">
      <c r="A6" s="1" t="s">
        <v>50</v>
      </c>
      <c r="B6" s="2">
        <v>0</v>
      </c>
      <c r="C6" s="2" t="s">
        <v>43</v>
      </c>
    </row>
    <row r="7" spans="1:3" x14ac:dyDescent="0.2">
      <c r="A7" s="1" t="s">
        <v>51</v>
      </c>
      <c r="B7" s="2">
        <v>1</v>
      </c>
      <c r="C7" s="2" t="s">
        <v>52</v>
      </c>
    </row>
    <row r="8" spans="1:3" x14ac:dyDescent="0.2">
      <c r="A8" s="1" t="s">
        <v>10</v>
      </c>
      <c r="B8" s="2">
        <v>1</v>
      </c>
      <c r="C8" s="2" t="s">
        <v>42</v>
      </c>
    </row>
    <row r="9" spans="1:3" x14ac:dyDescent="0.2">
      <c r="A9" s="1" t="s">
        <v>53</v>
      </c>
      <c r="B9" s="2">
        <v>0</v>
      </c>
      <c r="C9" s="2" t="s">
        <v>54</v>
      </c>
    </row>
    <row r="10" spans="1:3" x14ac:dyDescent="0.2">
      <c r="A10" s="1" t="s">
        <v>55</v>
      </c>
      <c r="B10" s="2">
        <v>1</v>
      </c>
      <c r="C10" s="2" t="s">
        <v>43</v>
      </c>
    </row>
    <row r="11" spans="1:3" x14ac:dyDescent="0.2">
      <c r="A11" s="1" t="s">
        <v>56</v>
      </c>
      <c r="B11" s="2">
        <v>0</v>
      </c>
      <c r="C11" s="2" t="s">
        <v>42</v>
      </c>
    </row>
    <row r="12" spans="1:3" x14ac:dyDescent="0.2">
      <c r="A12" s="1" t="s">
        <v>57</v>
      </c>
      <c r="B12" s="2">
        <v>0</v>
      </c>
      <c r="C12" s="2" t="s">
        <v>42</v>
      </c>
    </row>
    <row r="13" spans="1:3" x14ac:dyDescent="0.2">
      <c r="A13" s="1" t="s">
        <v>58</v>
      </c>
      <c r="B13" s="2">
        <v>1</v>
      </c>
      <c r="C13" s="2" t="s">
        <v>54</v>
      </c>
    </row>
    <row r="14" spans="1:3" x14ac:dyDescent="0.2">
      <c r="A14" s="1" t="s">
        <v>59</v>
      </c>
      <c r="B14" s="2">
        <v>1</v>
      </c>
      <c r="C14" s="2" t="s">
        <v>43</v>
      </c>
    </row>
    <row r="15" spans="1:3" x14ac:dyDescent="0.2">
      <c r="A15" s="1" t="s">
        <v>60</v>
      </c>
      <c r="B15" s="2">
        <v>0</v>
      </c>
      <c r="C15" s="2" t="s">
        <v>48</v>
      </c>
    </row>
    <row r="16" spans="1:3" x14ac:dyDescent="0.2">
      <c r="A16" s="1" t="s">
        <v>31</v>
      </c>
      <c r="B16" s="2">
        <v>1</v>
      </c>
      <c r="C16" s="2" t="s">
        <v>42</v>
      </c>
    </row>
    <row r="17" spans="1:3" x14ac:dyDescent="0.2">
      <c r="A17" s="1" t="s">
        <v>61</v>
      </c>
      <c r="B17" s="2">
        <v>1</v>
      </c>
      <c r="C17" s="2" t="s">
        <v>54</v>
      </c>
    </row>
    <row r="18" spans="1:3" x14ac:dyDescent="0.2">
      <c r="A18" s="1" t="s">
        <v>62</v>
      </c>
      <c r="B18" s="2">
        <v>0</v>
      </c>
      <c r="C18" s="2" t="s">
        <v>54</v>
      </c>
    </row>
    <row r="19" spans="1:3" x14ac:dyDescent="0.2">
      <c r="A19" s="1" t="s">
        <v>63</v>
      </c>
      <c r="B19" s="2">
        <v>0</v>
      </c>
      <c r="C19" s="2" t="s">
        <v>48</v>
      </c>
    </row>
    <row r="20" spans="1:3" x14ac:dyDescent="0.2">
      <c r="A20" s="1" t="s">
        <v>9</v>
      </c>
      <c r="B20" s="2">
        <v>1</v>
      </c>
      <c r="C20" s="2" t="s">
        <v>42</v>
      </c>
    </row>
    <row r="21" spans="1:3" x14ac:dyDescent="0.2">
      <c r="A21" s="1" t="s">
        <v>37</v>
      </c>
      <c r="B21" s="2">
        <v>1</v>
      </c>
      <c r="C21" s="2" t="s">
        <v>52</v>
      </c>
    </row>
    <row r="22" spans="1:3" x14ac:dyDescent="0.2">
      <c r="A22" s="1" t="s">
        <v>3</v>
      </c>
      <c r="B22" s="2">
        <v>1</v>
      </c>
      <c r="C22" s="2" t="s">
        <v>42</v>
      </c>
    </row>
    <row r="23" spans="1:3" x14ac:dyDescent="0.2">
      <c r="A23" s="1" t="s">
        <v>36</v>
      </c>
      <c r="B23" s="2">
        <v>0</v>
      </c>
      <c r="C23" s="2" t="s">
        <v>42</v>
      </c>
    </row>
    <row r="24" spans="1:3" x14ac:dyDescent="0.2">
      <c r="A24" s="1" t="s">
        <v>64</v>
      </c>
      <c r="B24" s="2">
        <v>1</v>
      </c>
      <c r="C24" s="2" t="s">
        <v>42</v>
      </c>
    </row>
    <row r="25" spans="1:3" x14ac:dyDescent="0.2">
      <c r="A25" s="1" t="s">
        <v>5</v>
      </c>
      <c r="B25" s="2">
        <v>1</v>
      </c>
      <c r="C25" s="2" t="s">
        <v>42</v>
      </c>
    </row>
    <row r="26" spans="1:3" x14ac:dyDescent="0.2">
      <c r="A26" s="1" t="s">
        <v>33</v>
      </c>
      <c r="B26" s="2">
        <v>1</v>
      </c>
      <c r="C26" s="2" t="s">
        <v>65</v>
      </c>
    </row>
    <row r="27" spans="1:3" x14ac:dyDescent="0.2">
      <c r="A27" s="1" t="s">
        <v>25</v>
      </c>
      <c r="B27" s="2">
        <v>1</v>
      </c>
      <c r="C27" s="2" t="s">
        <v>54</v>
      </c>
    </row>
    <row r="28" spans="1:3" x14ac:dyDescent="0.2">
      <c r="A28" s="1" t="s">
        <v>12</v>
      </c>
      <c r="B28" s="2">
        <v>1</v>
      </c>
      <c r="C28" s="2" t="s">
        <v>54</v>
      </c>
    </row>
    <row r="29" spans="1:3" x14ac:dyDescent="0.2">
      <c r="A29" s="1" t="s">
        <v>38</v>
      </c>
      <c r="B29" s="2">
        <v>1</v>
      </c>
      <c r="C29" s="2" t="s">
        <v>42</v>
      </c>
    </row>
    <row r="30" spans="1:3" x14ac:dyDescent="0.2">
      <c r="A30" s="1" t="s">
        <v>66</v>
      </c>
      <c r="B30" s="2">
        <v>1</v>
      </c>
      <c r="C30" s="2" t="s">
        <v>42</v>
      </c>
    </row>
    <row r="31" spans="1:3" x14ac:dyDescent="0.2">
      <c r="A31" s="1" t="s">
        <v>18</v>
      </c>
      <c r="B31" s="2">
        <v>1</v>
      </c>
      <c r="C31" s="2" t="s">
        <v>42</v>
      </c>
    </row>
    <row r="32" spans="1:3" x14ac:dyDescent="0.2">
      <c r="A32" s="1" t="s">
        <v>19</v>
      </c>
      <c r="B32" s="2">
        <v>1</v>
      </c>
      <c r="C32" s="2" t="s">
        <v>42</v>
      </c>
    </row>
    <row r="33" spans="1:3" x14ac:dyDescent="0.2">
      <c r="A33" s="1" t="s">
        <v>13</v>
      </c>
      <c r="B33" s="2">
        <v>1</v>
      </c>
      <c r="C33" s="2" t="s">
        <v>54</v>
      </c>
    </row>
    <row r="34" spans="1:3" x14ac:dyDescent="0.2">
      <c r="A34" s="1" t="s">
        <v>30</v>
      </c>
      <c r="B34" s="2">
        <v>1</v>
      </c>
      <c r="C34" s="2" t="s">
        <v>52</v>
      </c>
    </row>
    <row r="35" spans="1:3" x14ac:dyDescent="0.2">
      <c r="A35" s="1" t="s">
        <v>40</v>
      </c>
      <c r="B35" s="2">
        <v>1</v>
      </c>
      <c r="C35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16A4-071D-844A-A990-DBCCFD835AF6}">
  <dimension ref="A1:F40"/>
  <sheetViews>
    <sheetView workbookViewId="0">
      <selection sqref="A1:XFD1048576"/>
    </sheetView>
  </sheetViews>
  <sheetFormatPr baseColWidth="10" defaultRowHeight="16" x14ac:dyDescent="0.2"/>
  <cols>
    <col min="1" max="1" width="21.1640625" customWidth="1"/>
    <col min="4" max="4" width="1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68</v>
      </c>
    </row>
    <row r="2" spans="1:6" x14ac:dyDescent="0.2">
      <c r="A2" s="1" t="s">
        <v>3</v>
      </c>
      <c r="B2" s="2">
        <v>2013</v>
      </c>
      <c r="C2" s="2">
        <v>2018</v>
      </c>
      <c r="D2" t="str">
        <f>_xlfn.XLOOKUP(A2,Sheet2!A:A,Sheet2!C:C,0,0)</f>
        <v>Sunni</v>
      </c>
    </row>
    <row r="3" spans="1:6" x14ac:dyDescent="0.2">
      <c r="A3" s="1" t="s">
        <v>4</v>
      </c>
      <c r="B3" s="2">
        <v>2015</v>
      </c>
      <c r="C3" s="2">
        <v>2018</v>
      </c>
      <c r="D3">
        <f>_xlfn.XLOOKUP(A3,Sheet2!A:A,Sheet2!C:C,0,0)</f>
        <v>0</v>
      </c>
      <c r="E3" t="s">
        <v>42</v>
      </c>
    </row>
    <row r="4" spans="1:6" x14ac:dyDescent="0.2">
      <c r="A4" s="1" t="s">
        <v>5</v>
      </c>
      <c r="B4" s="2">
        <v>2014</v>
      </c>
      <c r="C4" s="2">
        <v>2023</v>
      </c>
      <c r="D4" t="str">
        <f>_xlfn.XLOOKUP(A4,Sheet2!A:A,Sheet2!C:C,0,0)</f>
        <v>Sunni</v>
      </c>
    </row>
    <row r="5" spans="1:6" x14ac:dyDescent="0.2">
      <c r="A5" s="1" t="s">
        <v>6</v>
      </c>
      <c r="B5" s="2">
        <v>2014</v>
      </c>
      <c r="C5" s="2">
        <v>2016</v>
      </c>
      <c r="D5">
        <f>_xlfn.XLOOKUP(A5,Sheet2!A:A,Sheet2!C:C,0,0)</f>
        <v>0</v>
      </c>
      <c r="E5" t="s">
        <v>42</v>
      </c>
    </row>
    <row r="6" spans="1:6" x14ac:dyDescent="0.2">
      <c r="A6" s="1" t="s">
        <v>7</v>
      </c>
      <c r="B6" s="2">
        <v>2004</v>
      </c>
      <c r="C6" s="2">
        <v>2023</v>
      </c>
      <c r="D6">
        <f>_xlfn.XLOOKUP(A6,Sheet2!A:A,Sheet2!C:C,0,0)</f>
        <v>0</v>
      </c>
      <c r="E6" t="s">
        <v>43</v>
      </c>
    </row>
    <row r="7" spans="1:6" x14ac:dyDescent="0.2">
      <c r="A7" s="1" t="s">
        <v>8</v>
      </c>
      <c r="B7" s="2">
        <v>2015</v>
      </c>
      <c r="C7" s="2">
        <v>2018</v>
      </c>
      <c r="D7" t="str">
        <f>_xlfn.XLOOKUP(A7,Sheet2!A:A,Sheet2!C:C,0,0)</f>
        <v>Sunni</v>
      </c>
    </row>
    <row r="8" spans="1:6" x14ac:dyDescent="0.2">
      <c r="A8" s="1" t="s">
        <v>9</v>
      </c>
      <c r="B8" s="2">
        <v>2012</v>
      </c>
      <c r="C8" s="2">
        <v>2023</v>
      </c>
      <c r="D8" t="str">
        <f>_xlfn.XLOOKUP(A8,Sheet2!A:A,Sheet2!C:C,0,0)</f>
        <v>Sunni</v>
      </c>
    </row>
    <row r="9" spans="1:6" x14ac:dyDescent="0.2">
      <c r="A9" s="1" t="s">
        <v>10</v>
      </c>
      <c r="B9" s="2">
        <v>2012</v>
      </c>
      <c r="C9" s="2">
        <v>2024</v>
      </c>
      <c r="D9" t="str">
        <f>_xlfn.XLOOKUP(A9,Sheet2!A:A,Sheet2!C:C,0,0)</f>
        <v>Sunni</v>
      </c>
    </row>
    <row r="10" spans="1:6" x14ac:dyDescent="0.2">
      <c r="A10" s="1" t="s">
        <v>11</v>
      </c>
      <c r="B10" s="2">
        <v>2014</v>
      </c>
      <c r="C10" s="2">
        <v>2018</v>
      </c>
      <c r="D10">
        <f>_xlfn.XLOOKUP(A10,Sheet2!A:A,Sheet2!C:C,0,0)</f>
        <v>0</v>
      </c>
      <c r="E10" t="s">
        <v>42</v>
      </c>
    </row>
    <row r="11" spans="1:6" x14ac:dyDescent="0.2">
      <c r="A11" s="1" t="s">
        <v>12</v>
      </c>
      <c r="B11" s="2">
        <v>2008</v>
      </c>
      <c r="C11" s="2">
        <v>2024</v>
      </c>
      <c r="D11" t="str">
        <f>_xlfn.XLOOKUP(A11,Sheet2!A:A,Sheet2!C:C,0,0)</f>
        <v>Shia</v>
      </c>
    </row>
    <row r="12" spans="1:6" x14ac:dyDescent="0.2">
      <c r="A12" s="1" t="s">
        <v>13</v>
      </c>
      <c r="B12" s="2">
        <v>2017</v>
      </c>
      <c r="C12" s="2">
        <v>2024</v>
      </c>
      <c r="D12" t="str">
        <f>_xlfn.XLOOKUP(A12,Sheet2!A:A,Sheet2!C:C,0,0)</f>
        <v>Shia</v>
      </c>
    </row>
    <row r="13" spans="1:6" x14ac:dyDescent="0.2">
      <c r="A13" s="1" t="s">
        <v>14</v>
      </c>
      <c r="B13" s="2">
        <v>2013</v>
      </c>
      <c r="C13" s="2">
        <v>2020</v>
      </c>
      <c r="D13">
        <f>_xlfn.XLOOKUP(A13,Sheet2!A:A,Sheet2!C:C,0,0)</f>
        <v>0</v>
      </c>
      <c r="F13" t="s">
        <v>41</v>
      </c>
    </row>
    <row r="14" spans="1:6" x14ac:dyDescent="0.2">
      <c r="A14" s="1" t="s">
        <v>15</v>
      </c>
      <c r="B14" s="2">
        <v>2004</v>
      </c>
      <c r="C14" s="2">
        <v>2024</v>
      </c>
      <c r="D14">
        <f>_xlfn.XLOOKUP(A14,Sheet2!A:A,Sheet2!C:C,0,0)</f>
        <v>0</v>
      </c>
      <c r="F14" t="s">
        <v>41</v>
      </c>
    </row>
    <row r="15" spans="1:6" x14ac:dyDescent="0.2">
      <c r="A15" s="1" t="s">
        <v>16</v>
      </c>
      <c r="B15" s="2">
        <v>2018</v>
      </c>
      <c r="C15" s="2">
        <v>2018</v>
      </c>
      <c r="D15">
        <f>_xlfn.XLOOKUP(A15,Sheet2!A:A,Sheet2!C:C,0,0)</f>
        <v>0</v>
      </c>
      <c r="E15" t="s">
        <v>42</v>
      </c>
    </row>
    <row r="16" spans="1:6" x14ac:dyDescent="0.2">
      <c r="A16" s="1" t="s">
        <v>17</v>
      </c>
      <c r="B16" s="2">
        <v>2014</v>
      </c>
      <c r="C16" s="2">
        <v>2014</v>
      </c>
      <c r="D16">
        <f>_xlfn.XLOOKUP(A16,Sheet2!A:A,Sheet2!C:C,0,0)</f>
        <v>0</v>
      </c>
      <c r="E16" t="s">
        <v>42</v>
      </c>
    </row>
    <row r="17" spans="1:6" x14ac:dyDescent="0.2">
      <c r="A17" s="1" t="s">
        <v>18</v>
      </c>
      <c r="B17" s="2">
        <v>2015</v>
      </c>
      <c r="C17" s="2">
        <v>2016</v>
      </c>
      <c r="D17" t="str">
        <f>_xlfn.XLOOKUP(A17,Sheet2!A:A,Sheet2!C:C,0,0)</f>
        <v>Sunni</v>
      </c>
    </row>
    <row r="18" spans="1:6" x14ac:dyDescent="0.2">
      <c r="A18" s="1" t="s">
        <v>19</v>
      </c>
      <c r="B18" s="2">
        <v>2013</v>
      </c>
      <c r="C18" s="2">
        <v>2018</v>
      </c>
      <c r="D18" t="str">
        <f>_xlfn.XLOOKUP(A18,Sheet2!A:A,Sheet2!C:C,0,0)</f>
        <v>Sunni</v>
      </c>
    </row>
    <row r="19" spans="1:6" x14ac:dyDescent="0.2">
      <c r="A19" s="1" t="s">
        <v>20</v>
      </c>
      <c r="B19" s="2">
        <v>2014</v>
      </c>
      <c r="C19" s="2">
        <v>2015</v>
      </c>
      <c r="D19">
        <f>_xlfn.XLOOKUP(A19,Sheet2!A:A,Sheet2!C:C,0,0)</f>
        <v>0</v>
      </c>
      <c r="E19" t="s">
        <v>67</v>
      </c>
    </row>
    <row r="20" spans="1:6" x14ac:dyDescent="0.2">
      <c r="A20" s="1" t="s">
        <v>21</v>
      </c>
      <c r="B20" s="2">
        <v>2013</v>
      </c>
      <c r="C20" s="2">
        <v>2014</v>
      </c>
      <c r="D20">
        <f>_xlfn.XLOOKUP(A20,Sheet2!A:A,Sheet2!C:C,0,0)</f>
        <v>0</v>
      </c>
      <c r="E20" t="s">
        <v>65</v>
      </c>
    </row>
    <row r="21" spans="1:6" x14ac:dyDescent="0.2">
      <c r="A21" s="1" t="s">
        <v>22</v>
      </c>
      <c r="B21" s="2">
        <v>2013</v>
      </c>
      <c r="C21" s="2">
        <v>2013</v>
      </c>
      <c r="D21">
        <f>_xlfn.XLOOKUP(A21,Sheet2!A:A,Sheet2!C:C,0,0)</f>
        <v>0</v>
      </c>
      <c r="E21" t="s">
        <v>65</v>
      </c>
    </row>
    <row r="22" spans="1:6" x14ac:dyDescent="0.2">
      <c r="A22" s="1" t="s">
        <v>23</v>
      </c>
      <c r="B22" s="2">
        <v>2013</v>
      </c>
      <c r="C22" s="2">
        <v>2013</v>
      </c>
      <c r="D22">
        <f>_xlfn.XLOOKUP(A22,Sheet2!A:A,Sheet2!C:C,0,0)</f>
        <v>0</v>
      </c>
      <c r="E22" t="s">
        <v>42</v>
      </c>
    </row>
    <row r="23" spans="1:6" x14ac:dyDescent="0.2">
      <c r="A23" s="1" t="s">
        <v>24</v>
      </c>
      <c r="B23" s="2">
        <v>2013</v>
      </c>
      <c r="C23" s="2">
        <v>2014</v>
      </c>
      <c r="D23" t="s">
        <v>42</v>
      </c>
    </row>
    <row r="24" spans="1:6" x14ac:dyDescent="0.2">
      <c r="A24" s="1" t="s">
        <v>25</v>
      </c>
      <c r="B24" s="2">
        <v>2004</v>
      </c>
      <c r="C24" s="2">
        <v>2024</v>
      </c>
      <c r="D24" t="str">
        <f>_xlfn.XLOOKUP(A24,Sheet2!A:A,Sheet2!C:C,0,0)</f>
        <v>Shia</v>
      </c>
    </row>
    <row r="25" spans="1:6" x14ac:dyDescent="0.2">
      <c r="A25" s="1" t="s">
        <v>26</v>
      </c>
      <c r="B25" s="2">
        <v>2014</v>
      </c>
      <c r="C25" s="2">
        <v>2014</v>
      </c>
      <c r="D25">
        <f>_xlfn.XLOOKUP(A25,Sheet2!A:A,Sheet2!C:C,0,0)</f>
        <v>0</v>
      </c>
      <c r="E25" t="s">
        <v>42</v>
      </c>
    </row>
    <row r="26" spans="1:6" x14ac:dyDescent="0.2">
      <c r="A26" s="1" t="s">
        <v>27</v>
      </c>
      <c r="B26" s="2">
        <v>2014</v>
      </c>
      <c r="C26" s="2">
        <v>2014</v>
      </c>
      <c r="D26">
        <f>_xlfn.XLOOKUP(A26,Sheet2!A:A,Sheet2!C:C,0,0)</f>
        <v>0</v>
      </c>
      <c r="E26" t="s">
        <v>42</v>
      </c>
    </row>
    <row r="27" spans="1:6" x14ac:dyDescent="0.2">
      <c r="A27" s="1" t="s">
        <v>28</v>
      </c>
      <c r="B27" s="2">
        <v>2011</v>
      </c>
      <c r="C27" s="2">
        <v>2022</v>
      </c>
      <c r="D27">
        <f>_xlfn.XLOOKUP(A27,Sheet2!A:A,Sheet2!C:C,0,0)</f>
        <v>0</v>
      </c>
      <c r="F27" t="s">
        <v>41</v>
      </c>
    </row>
    <row r="28" spans="1:6" x14ac:dyDescent="0.2">
      <c r="A28" s="1" t="s">
        <v>29</v>
      </c>
      <c r="B28" s="2">
        <v>2017</v>
      </c>
      <c r="C28" s="2">
        <v>2022</v>
      </c>
      <c r="D28">
        <f>_xlfn.XLOOKUP(A28,Sheet2!A:A,Sheet2!C:C,0,0)</f>
        <v>0</v>
      </c>
      <c r="F28" t="s">
        <v>41</v>
      </c>
    </row>
    <row r="29" spans="1:6" x14ac:dyDescent="0.2">
      <c r="A29" s="1" t="s">
        <v>30</v>
      </c>
      <c r="B29" s="2">
        <v>2015</v>
      </c>
      <c r="C29" s="2">
        <v>2024</v>
      </c>
      <c r="D29" t="str">
        <f>_xlfn.XLOOKUP(A29,Sheet2!A:A,Sheet2!C:C,0,0)</f>
        <v>Secular</v>
      </c>
    </row>
    <row r="30" spans="1:6" x14ac:dyDescent="0.2">
      <c r="A30" s="1" t="s">
        <v>31</v>
      </c>
      <c r="B30" s="2">
        <v>2014</v>
      </c>
      <c r="C30" s="2">
        <v>2018</v>
      </c>
      <c r="D30" t="str">
        <f>_xlfn.XLOOKUP(A30,Sheet2!A:A,Sheet2!C:C,0,0)</f>
        <v>Sunni</v>
      </c>
    </row>
    <row r="31" spans="1:6" x14ac:dyDescent="0.2">
      <c r="A31" s="1" t="s">
        <v>32</v>
      </c>
      <c r="B31" s="2">
        <v>2018</v>
      </c>
      <c r="C31" s="2">
        <v>2018</v>
      </c>
      <c r="D31">
        <f>_xlfn.XLOOKUP(A31,Sheet2!A:A,Sheet2!C:C,0,0)</f>
        <v>0</v>
      </c>
      <c r="E31" t="s">
        <v>42</v>
      </c>
    </row>
    <row r="32" spans="1:6" x14ac:dyDescent="0.2">
      <c r="A32" s="1" t="s">
        <v>33</v>
      </c>
      <c r="B32" s="2">
        <v>2014</v>
      </c>
      <c r="C32" s="2">
        <v>2024</v>
      </c>
      <c r="D32" t="str">
        <f>_xlfn.XLOOKUP(A32,Sheet2!A:A,Sheet2!C:C,0,0)</f>
        <v>Kurdish</v>
      </c>
    </row>
    <row r="33" spans="1:6" x14ac:dyDescent="0.2">
      <c r="A33" s="1" t="s">
        <v>34</v>
      </c>
      <c r="B33" s="2">
        <v>2011</v>
      </c>
      <c r="C33" s="2">
        <v>2023</v>
      </c>
      <c r="D33">
        <f>_xlfn.XLOOKUP(A33,Sheet2!A:A,Sheet2!C:C,0,0)</f>
        <v>0</v>
      </c>
      <c r="E33" t="s">
        <v>43</v>
      </c>
    </row>
    <row r="34" spans="1:6" x14ac:dyDescent="0.2">
      <c r="A34" s="1" t="s">
        <v>35</v>
      </c>
      <c r="B34" s="2">
        <v>2013</v>
      </c>
      <c r="C34" s="2">
        <v>2024</v>
      </c>
      <c r="D34" t="s">
        <v>42</v>
      </c>
    </row>
    <row r="35" spans="1:6" x14ac:dyDescent="0.2">
      <c r="A35" s="1" t="s">
        <v>36</v>
      </c>
      <c r="B35" s="2">
        <v>2014</v>
      </c>
      <c r="C35" s="2">
        <v>2018</v>
      </c>
      <c r="D35" t="str">
        <f>_xlfn.XLOOKUP(A35,Sheet2!A:A,Sheet2!C:C,0,0)</f>
        <v>Sunni</v>
      </c>
    </row>
    <row r="36" spans="1:6" x14ac:dyDescent="0.2">
      <c r="A36" s="1" t="s">
        <v>37</v>
      </c>
      <c r="B36" s="2">
        <v>2013</v>
      </c>
      <c r="C36" s="2">
        <v>2018</v>
      </c>
      <c r="D36" t="str">
        <f>_xlfn.XLOOKUP(A36,Sheet2!A:A,Sheet2!C:C,0,0)</f>
        <v>Secular</v>
      </c>
    </row>
    <row r="37" spans="1:6" x14ac:dyDescent="0.2">
      <c r="A37" s="1" t="s">
        <v>38</v>
      </c>
      <c r="B37" s="2">
        <v>2015</v>
      </c>
      <c r="C37" s="2">
        <v>2023</v>
      </c>
      <c r="D37" t="str">
        <f>_xlfn.XLOOKUP(A37,Sheet2!A:A,Sheet2!C:C,0,0)</f>
        <v>Sunni</v>
      </c>
    </row>
    <row r="38" spans="1:6" x14ac:dyDescent="0.2">
      <c r="A38" s="1" t="s">
        <v>39</v>
      </c>
      <c r="B38" s="2">
        <v>2017</v>
      </c>
      <c r="C38" s="2">
        <v>2018</v>
      </c>
      <c r="D38">
        <f>_xlfn.XLOOKUP(A38,Sheet2!A:A,Sheet2!C:C,0,0)</f>
        <v>0</v>
      </c>
      <c r="E38" t="s">
        <v>52</v>
      </c>
      <c r="F38" t="s">
        <v>41</v>
      </c>
    </row>
    <row r="39" spans="1:6" x14ac:dyDescent="0.2">
      <c r="A39" s="1" t="s">
        <v>40</v>
      </c>
      <c r="B39" s="2">
        <v>2014</v>
      </c>
      <c r="C39" s="2">
        <v>2024</v>
      </c>
      <c r="D39" t="str">
        <f>_xlfn.XLOOKUP(A39,Sheet2!A:A,Sheet2!C:C,0,0)</f>
        <v>Secular</v>
      </c>
    </row>
    <row r="40" spans="1:6" x14ac:dyDescent="0.2">
      <c r="A40" s="1" t="s">
        <v>41</v>
      </c>
      <c r="B40" s="2">
        <v>2004</v>
      </c>
      <c r="C40" s="2">
        <v>2024</v>
      </c>
      <c r="D40">
        <f>_xlfn.XLOOKUP(A40,Sheet2!A:A,Sheet2!C:C,0,0)</f>
        <v>0</v>
      </c>
      <c r="E4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Bielaková</dc:creator>
  <cp:lastModifiedBy>Tatiana Bielaková</cp:lastModifiedBy>
  <dcterms:created xsi:type="dcterms:W3CDTF">2024-11-27T18:06:28Z</dcterms:created>
  <dcterms:modified xsi:type="dcterms:W3CDTF">2026-06-08T16:47:30Z</dcterms:modified>
</cp:coreProperties>
</file>