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tianabielakova/Dropbox/Syria Conflict Network/RA - Tatiana/01 - Data/Merging/"/>
    </mc:Choice>
  </mc:AlternateContent>
  <xr:revisionPtr revIDLastSave="0" documentId="13_ncr:1_{8A3B99B0-81EA-D446-BBE2-AEABB9BC91D0}" xr6:coauthVersionLast="47" xr6:coauthVersionMax="47" xr10:uidLastSave="{00000000-0000-0000-0000-000000000000}"/>
  <bookViews>
    <workbookView xWindow="0" yWindow="760" windowWidth="29400" windowHeight="16940" activeTab="1" xr2:uid="{30AA65F0-3C81-1A44-94BC-A372B91FF9B2}"/>
  </bookViews>
  <sheets>
    <sheet name="Colouring" sheetId="3" r:id="rId1"/>
    <sheet name="MAIN_merging" sheetId="1" r:id="rId2"/>
    <sheet name="original_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8" i="1" l="1"/>
  <c r="C98" i="1"/>
  <c r="D98" i="1"/>
  <c r="E98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D2" i="1"/>
  <c r="E2" i="1"/>
  <c r="C2" i="1"/>
  <c r="B75" i="1"/>
  <c r="B38" i="1"/>
  <c r="B23" i="1"/>
  <c r="B88" i="1"/>
  <c r="B12" i="1"/>
  <c r="B63" i="1"/>
  <c r="B54" i="1"/>
  <c r="B62" i="1"/>
  <c r="B55" i="1"/>
  <c r="B81" i="1"/>
  <c r="B56" i="1"/>
  <c r="B45" i="1"/>
  <c r="B93" i="1"/>
  <c r="B66" i="1"/>
  <c r="B33" i="1"/>
  <c r="B24" i="1"/>
  <c r="B42" i="1"/>
  <c r="B48" i="1"/>
  <c r="B74" i="1"/>
  <c r="B30" i="1"/>
  <c r="B80" i="1"/>
  <c r="B3" i="1"/>
  <c r="B20" i="1"/>
  <c r="B34" i="1"/>
  <c r="B61" i="1"/>
  <c r="B79" i="1"/>
  <c r="B64" i="1"/>
  <c r="B4" i="1"/>
  <c r="B5" i="1"/>
  <c r="B97" i="1"/>
  <c r="B65" i="1"/>
  <c r="B26" i="1"/>
  <c r="B87" i="1"/>
  <c r="B13" i="1"/>
  <c r="B17" i="1"/>
  <c r="B36" i="1"/>
  <c r="B85" i="1"/>
  <c r="B18" i="1"/>
  <c r="B95" i="1"/>
  <c r="B91" i="1"/>
  <c r="B41" i="1"/>
  <c r="B92" i="1"/>
  <c r="B70" i="1"/>
  <c r="B57" i="1"/>
  <c r="B51" i="1"/>
  <c r="B27" i="1"/>
  <c r="B76" i="1"/>
  <c r="B15" i="1"/>
  <c r="B84" i="1"/>
  <c r="B21" i="1"/>
  <c r="B77" i="1"/>
  <c r="B71" i="1"/>
  <c r="B31" i="1"/>
  <c r="B50" i="1"/>
  <c r="B60" i="1"/>
  <c r="B37" i="1"/>
  <c r="B35" i="1"/>
  <c r="B59" i="1"/>
  <c r="B47" i="1"/>
  <c r="B68" i="1"/>
  <c r="B46" i="1"/>
  <c r="B44" i="1"/>
  <c r="B52" i="1"/>
  <c r="B82" i="1"/>
  <c r="B25" i="1"/>
  <c r="B69" i="1"/>
  <c r="B39" i="1"/>
  <c r="B67" i="1"/>
  <c r="B9" i="1"/>
  <c r="B6" i="1"/>
  <c r="B10" i="1"/>
  <c r="B11" i="1"/>
  <c r="B89" i="1"/>
  <c r="B73" i="1"/>
  <c r="B94" i="1"/>
  <c r="B90" i="1"/>
  <c r="B83" i="1"/>
  <c r="B16" i="1"/>
  <c r="B78" i="1"/>
  <c r="B49" i="1"/>
  <c r="B40" i="1"/>
  <c r="B86" i="1"/>
  <c r="B7" i="1"/>
  <c r="B43" i="1"/>
  <c r="B72" i="1"/>
  <c r="B96" i="1"/>
  <c r="B29" i="1"/>
  <c r="B8" i="1"/>
  <c r="B19" i="1"/>
  <c r="B22" i="1"/>
  <c r="B32" i="1"/>
  <c r="B14" i="1"/>
  <c r="B58" i="1"/>
  <c r="B28" i="1"/>
  <c r="B53" i="1"/>
  <c r="B2" i="1"/>
</calcChain>
</file>

<file path=xl/sharedStrings.xml><?xml version="1.0" encoding="utf-8"?>
<sst xmlns="http://schemas.openxmlformats.org/spreadsheetml/2006/main" count="553" uniqueCount="239">
  <si>
    <t>16th Division</t>
  </si>
  <si>
    <t>23rd Division</t>
  </si>
  <si>
    <t>Ahfad al Rasoul Brigade</t>
  </si>
  <si>
    <t>Ahrar al-Sham</t>
  </si>
  <si>
    <t>Ahrar al-Sharqiya</t>
  </si>
  <si>
    <t>Ahrar Ghurayan</t>
  </si>
  <si>
    <t>Aknaf Bait al-Maqdis</t>
  </si>
  <si>
    <t>al-Moutasem Brigade</t>
  </si>
  <si>
    <t>al-Qa'qa Brigade</t>
  </si>
  <si>
    <t>al-Qaida</t>
  </si>
  <si>
    <t>al-Tawhid Brigade</t>
  </si>
  <si>
    <t>Army of Maoata al-Islami</t>
  </si>
  <si>
    <t>Authenticity and Development Front</t>
  </si>
  <si>
    <t>Baz al-Islamiya</t>
  </si>
  <si>
    <t>Civilians</t>
  </si>
  <si>
    <t>Dawn of Freedom Brigades</t>
  </si>
  <si>
    <t>Deir ez Zor Military Council</t>
  </si>
  <si>
    <t>Eastern Ghouta Unified Military Command</t>
  </si>
  <si>
    <t>Eastern Qalamoun Operations Room</t>
  </si>
  <si>
    <t>Euphrates Islamic Liberation Front</t>
  </si>
  <si>
    <t>Euphrates Vulcano</t>
  </si>
  <si>
    <t>Fatah Halab</t>
  </si>
  <si>
    <t>Forces of the Caucasus Emirate</t>
  </si>
  <si>
    <t>Ghuraba al-Sham</t>
  </si>
  <si>
    <t>Government of Iran</t>
  </si>
  <si>
    <t>Government of Iraq</t>
  </si>
  <si>
    <t>Government of Israel</t>
  </si>
  <si>
    <t>Government of Jordan</t>
  </si>
  <si>
    <t>Government of Russia (Soviet Union)</t>
  </si>
  <si>
    <t>Government of Syria</t>
  </si>
  <si>
    <t>Government of Turkey</t>
  </si>
  <si>
    <t>Government of United States of America</t>
  </si>
  <si>
    <t>Hamza Asadullah Brigade</t>
  </si>
  <si>
    <t>Hamza Division</t>
  </si>
  <si>
    <t>Harkat Hazm</t>
  </si>
  <si>
    <t>Hawar Kilis Operations Room</t>
  </si>
  <si>
    <t>Hezbollah</t>
  </si>
  <si>
    <t>HTS</t>
  </si>
  <si>
    <t>IS</t>
  </si>
  <si>
    <t>Islamic Front</t>
  </si>
  <si>
    <t>Jabhat al-Akrad</t>
  </si>
  <si>
    <t>Jabhat Fateh al-Sham</t>
  </si>
  <si>
    <t>Jaysh al Fatah Idlib</t>
  </si>
  <si>
    <t>Jaysh al-Asha’er</t>
  </si>
  <si>
    <t>Jaysh al-Islam</t>
  </si>
  <si>
    <t>Jaysh al-Jihad (Saraya al- Jihad)</t>
  </si>
  <si>
    <t>Jaysh al-Sanadid</t>
  </si>
  <si>
    <t>Liwa al-Aqsa</t>
  </si>
  <si>
    <t>Mare’ Operations Room</t>
  </si>
  <si>
    <t>Mujahideen Army</t>
  </si>
  <si>
    <t>National Front for Liberation</t>
  </si>
  <si>
    <t>Northern Storm Brigade</t>
  </si>
  <si>
    <t>Nour al-Din Zenki</t>
  </si>
  <si>
    <t>NSA</t>
  </si>
  <si>
    <t>Opponents of al-Assad</t>
  </si>
  <si>
    <t>PIJ</t>
  </si>
  <si>
    <t>PKK</t>
  </si>
  <si>
    <t>PYD</t>
  </si>
  <si>
    <t>SDF</t>
  </si>
  <si>
    <t>SNA</t>
  </si>
  <si>
    <t>Southern Front</t>
  </si>
  <si>
    <t>SRF</t>
  </si>
  <si>
    <t>Supporters of al-Assad</t>
  </si>
  <si>
    <t>Suqour al-Sham</t>
  </si>
  <si>
    <t>Syrian insurgents</t>
  </si>
  <si>
    <t>Syrian Liberation Front</t>
  </si>
  <si>
    <t>Tahrir al- Sham Army</t>
  </si>
  <si>
    <t>Tajamu Shuhada al-Sharqiya</t>
  </si>
  <si>
    <t>Tanzim Hurras ad-Din</t>
  </si>
  <si>
    <t>Army of al-Ikhlas</t>
  </si>
  <si>
    <t>FSA</t>
  </si>
  <si>
    <t>Furqan Brigades</t>
  </si>
  <si>
    <t>Islamic Kurdish Front</t>
  </si>
  <si>
    <t>Jaish al-Muhajireen wal-Ansar</t>
  </si>
  <si>
    <t>Jaysh Usud al-Sharqiya</t>
  </si>
  <si>
    <t>Jaysh al Nasr</t>
  </si>
  <si>
    <t>Jaysh al-Nukhba</t>
  </si>
  <si>
    <t>Jazeera-Euphrates Liberation Front</t>
  </si>
  <si>
    <t>Khabour Guards</t>
  </si>
  <si>
    <t>Liwa Thuwar ar-Raqqa</t>
  </si>
  <si>
    <t>Liwa al-Jihad fi Sabeel Allah</t>
  </si>
  <si>
    <t>Liwa al-Qadisiya</t>
  </si>
  <si>
    <t>Liwa al-Sultan Murad</t>
  </si>
  <si>
    <t>MFS</t>
  </si>
  <si>
    <t>Majd al-Sham</t>
  </si>
  <si>
    <t>Martyr Lieutenant Ahmed Abdou Brigades</t>
  </si>
  <si>
    <t>Omar al-Mukhtar Battalion</t>
  </si>
  <si>
    <t>Rahman Corps</t>
  </si>
  <si>
    <t>Salahadin Brigade</t>
  </si>
  <si>
    <t>Sham Legion</t>
  </si>
  <si>
    <t>Sham al-Rasul Brigade</t>
  </si>
  <si>
    <t>Sons of Yarmouk Movement</t>
  </si>
  <si>
    <t>Yarmouk Army</t>
  </si>
  <si>
    <t>al-Farouq Brigades</t>
  </si>
  <si>
    <t>Army of Ahl al-Sunni wal Jamaa</t>
  </si>
  <si>
    <t>Bayareq al-Shaaitat</t>
  </si>
  <si>
    <t>Iran</t>
  </si>
  <si>
    <t>Iraq</t>
  </si>
  <si>
    <t>Israel</t>
  </si>
  <si>
    <t>Military Forces of Syria</t>
  </si>
  <si>
    <t>Turkey</t>
  </si>
  <si>
    <t>USA</t>
  </si>
  <si>
    <t>Free Syrian Army</t>
  </si>
  <si>
    <t>Jaysh al-Fatah</t>
  </si>
  <si>
    <t>The Southern Front</t>
  </si>
  <si>
    <t>Al Qaeda</t>
  </si>
  <si>
    <t>Jaysh al-Sanadeed</t>
  </si>
  <si>
    <t>The Islamic State</t>
  </si>
  <si>
    <t>Syrian Democratic Forces</t>
  </si>
  <si>
    <t>HTS: Hayat Tahrir al-Sham</t>
  </si>
  <si>
    <t>x</t>
  </si>
  <si>
    <t>Peoples Protection Units</t>
  </si>
  <si>
    <t>https://en.wikipedia.org/wiki/Euphrates_Volcano</t>
  </si>
  <si>
    <t>https://en.wikipedia.org/wiki/Fatah_Halab</t>
  </si>
  <si>
    <t>affiliated</t>
  </si>
  <si>
    <t>https://en.wikipedia.org/wiki/Hawar_Kilis_Operations_Room</t>
  </si>
  <si>
    <t>https://en.wikipedia.org/wiki/Free_Syrian_Army#Armed_groups_with_the_Free_Syrian_Army</t>
  </si>
  <si>
    <t>https://en.wikipedia.org/wiki/23rd_Division_(Syrian_rebel_group)</t>
  </si>
  <si>
    <t>https://en.wikipedia.org/wiki/Southern_Front_(Syrian_rebel_group)</t>
  </si>
  <si>
    <t>https://en.wikipedia.org/wiki/Mujahideen_Army_(Syria)</t>
  </si>
  <si>
    <t>https://en.wikipedia.org/wiki/Northern_Storm_Brigade</t>
  </si>
  <si>
    <t>https://en.wikipedia.org/wiki/Nour_al-Din_al-Zenki_Movement#2020:_Resurgence</t>
  </si>
  <si>
    <t>They suggested that Moflihi had joined the Omar al-Mukhtar Battalion, one of the literally hundreds of rebel groups that have ties to the Free Syrian Army.</t>
  </si>
  <si>
    <t>al-Rahman Legion was a large rebel group operating in the Damascus suburbs which occasionally identifies as part of the FSA.</t>
  </si>
  <si>
    <t>https://www.npr.org/sections/parallels/2014/08/28/343805340/brooklyn-man-fights-in-syria-officials-unsure-of-the-threat</t>
  </si>
  <si>
    <t>https://en.wikipedia.org/wiki/Free_Syrian_Army</t>
  </si>
  <si>
    <t>https://en.wikipedia.org/wiki/Saladin_Ayubi_Brigade</t>
  </si>
  <si>
    <t>JTS: Syria Liberation Front</t>
  </si>
  <si>
    <t>https://en.wikipedia.org/wiki/Revolutionary_Commando_Army</t>
  </si>
  <si>
    <t>https://en.wikipedia.org/wiki/Syriac_Military_Council</t>
  </si>
  <si>
    <t>https://en.wikipedia.org/wiki/Caucasus_Emirate</t>
  </si>
  <si>
    <t>https://en.wikipedia.org/wiki/Jabhat_Ghuraba_al-Sham</t>
  </si>
  <si>
    <t>https://en.wikipedia.org/wiki/Deir_ez-Zor_Military_Council</t>
  </si>
  <si>
    <t>independent, supported by Qatar</t>
  </si>
  <si>
    <t>https://en.wikipedia.org/wiki/Sultan_Murad_Division</t>
  </si>
  <si>
    <t>https://en.wikipedia.org/wiki/Liwa_al-Quds</t>
  </si>
  <si>
    <t>https://en.wikipedia.org/wiki/Jaysh_al-Salam</t>
  </si>
  <si>
    <t>https://en.wikipedia.org/wiki/Khabur_Guards</t>
  </si>
  <si>
    <t>Kurdish Islamic Front</t>
  </si>
  <si>
    <t>Liwa al-Tawhid</t>
  </si>
  <si>
    <t>Faylaq al-Rahman</t>
  </si>
  <si>
    <t>https://en.wikipedia.org/wiki/Liwa_al-Muhajireen_wal-Ansar</t>
  </si>
  <si>
    <t>https://militiasdb.sowi.uni-mannheim.de/militias-public/pgag/597/evidence/</t>
  </si>
  <si>
    <t>https://en.wikipedia.org/wiki/Mu%27tasim_Division</t>
  </si>
  <si>
    <t>https://en.wikipedia.org/wiki/Hurras_al-Din</t>
  </si>
  <si>
    <t>https://syriadirect.org/is-in-yarmouk-camp-after-entering-through-nusra-checkpoints/</t>
  </si>
  <si>
    <t>https://en.wikipedia.org/wiki/Forces_of_Martyr_Ahmad_al-Abdo</t>
  </si>
  <si>
    <t>https://historica.fandom.com/wiki/Mare%27_Operations_Room</t>
  </si>
  <si>
    <t>https://en.wikipedia.org/wiki/Aknaf_Bait_al-Maqdis</t>
  </si>
  <si>
    <t>https://en.wikipedia.org/wiki/Authenticity_and_Development_Front</t>
  </si>
  <si>
    <t>https://en.wikipedia.org/wiki/Hamza_Division_(Aleppo)</t>
  </si>
  <si>
    <t>https://military-history.fandom.com/wiki/Jabhat_al-Akrad</t>
  </si>
  <si>
    <t>https://en.wikipedia.org/wiki/Army_of_Free_Tribes</t>
  </si>
  <si>
    <t>Harakat Nour al-Din al-Zenki</t>
  </si>
  <si>
    <t>https://en.wikipedia.org/wiki/Jund_al-Aqsa</t>
  </si>
  <si>
    <t>id</t>
  </si>
  <si>
    <t>name</t>
  </si>
  <si>
    <t>ACDevent</t>
  </si>
  <si>
    <t>merge</t>
  </si>
  <si>
    <t>keep</t>
  </si>
  <si>
    <t>drop</t>
  </si>
  <si>
    <t>active</t>
  </si>
  <si>
    <t>mintime</t>
  </si>
  <si>
    <t>maxtime</t>
  </si>
  <si>
    <t>Active years</t>
  </si>
  <si>
    <t>Min_year</t>
  </si>
  <si>
    <t>Max_year</t>
  </si>
  <si>
    <t>Reasoning</t>
  </si>
  <si>
    <t>independent; operates mainly in Turkye</t>
  </si>
  <si>
    <t>independent; operates mainly in Isreal</t>
  </si>
  <si>
    <t>too little information</t>
  </si>
  <si>
    <t>too small</t>
  </si>
  <si>
    <t>https://www.counterextremism.com/armed-opposition-groups-nw-syria/ahrar-al-sharqiyah</t>
  </si>
  <si>
    <t xml:space="preserve">no </t>
  </si>
  <si>
    <t>Groups subsumed under the Syrian insurgents-heading include Ahrar al-Sham, HTS (often referred to as Jabhat al- 21 Nusra li al-Sham), and a multitude of groups that branded themselves FSA (Free Syrian Army). It should however be stressed that numerous other groups are also included.</t>
  </si>
  <si>
    <t>This report analyses the role of the Syrian Kurdish People’s Protection Units (YPG) and the associated Democratic Union Party (PYD) during the Syrian civil war. </t>
  </si>
  <si>
    <t>faction based on exteranal sources</t>
  </si>
  <si>
    <t>https://en.wikipedia.org/wiki/Al-Nusra_Front</t>
  </si>
  <si>
    <t>affiliated with Free Syrian War, but maybe big enough to consider to be a separate player</t>
  </si>
  <si>
    <t>called Jaysh Suriyah al-Jadid; faction based on external sources</t>
  </si>
  <si>
    <t>too small; not enough information to merge</t>
  </si>
  <si>
    <t>also called Glories of the Levant Brigade</t>
  </si>
  <si>
    <t>also called Falcons of Islam Brigade</t>
  </si>
  <si>
    <t>https://eaworldview.com/2013/06/syria-today-the-war-on-the-economy/</t>
  </si>
  <si>
    <t>copied from merging; Jabhat Thowar Suriya</t>
  </si>
  <si>
    <t>new group</t>
  </si>
  <si>
    <t>Action</t>
  </si>
  <si>
    <t>https://en.wikipedia.org/wiki/Mujahideen_Shura_Council_(Syria)</t>
  </si>
  <si>
    <t>https://military-history.fandom.com/wiki/Jaysh_al-Jihad</t>
  </si>
  <si>
    <t>https://en.wikipedia.org/wiki/Dawn_of_Freedom_Brigades</t>
  </si>
  <si>
    <t>new group, merge</t>
  </si>
  <si>
    <t>https://military-history.fandom.com/wiki/Jaysh_al-Nasr</t>
  </si>
  <si>
    <t>Mujahideen Shura Council</t>
  </si>
  <si>
    <t>independent group in the years mentioned</t>
  </si>
  <si>
    <t>Stanford</t>
  </si>
  <si>
    <t>The Brigade is considered the most organized and best equipped government sanctioned militia group in Tripoli</t>
  </si>
  <si>
    <t>renamed FSA</t>
  </si>
  <si>
    <t>foreign country</t>
  </si>
  <si>
    <t>old merging</t>
  </si>
  <si>
    <t>faction/ operation based on exteranal sources</t>
  </si>
  <si>
    <t>also known as Kurdish Front</t>
  </si>
  <si>
    <t>SNA Encyclopedia</t>
  </si>
  <si>
    <t>rename</t>
  </si>
  <si>
    <t>Joined operation of People's Protection Units (YPG) and certain factions of the Free Syrian Army (FSA).</t>
  </si>
  <si>
    <t>allgedly affiliated</t>
  </si>
  <si>
    <t>affiliated with Free Syrian War</t>
  </si>
  <si>
    <t>https://en.wikipedia.org/wiki/National_Front_for_Liberation</t>
  </si>
  <si>
    <t>part of the Southern Front until April 2018</t>
  </si>
  <si>
    <t>seems to be mainly Palestinian military group</t>
  </si>
  <si>
    <t>too independent</t>
  </si>
  <si>
    <t>kinda Hezbollah as well</t>
  </si>
  <si>
    <t>https://www.aljazeera.net/news/2014/2/4/%d8%aa%d8%ad%d8%b1%d9%8a%d8%b1-%d8%a7%d9%84%d9%81%d8%b1%d8%a7%d8%aa-%d8%ac%d8%a8%d9%87%d8%a9-%d8%a5%d8%b3%d9%84%d8%a7%d9%85%d9%8a%d8%a9-%d8%ac%d8%af%d9%8a%d8%af%d8%a9-%d8%aa%d9%88%d8%a7%d8%ac%d9%87</t>
  </si>
  <si>
    <t>Column1</t>
  </si>
  <si>
    <t>Column2</t>
  </si>
  <si>
    <t xml:space="preserve">external </t>
  </si>
  <si>
    <t>Jaysh al-Islam, Ahrar al-Sham, Liwa al-Tawhid</t>
  </si>
  <si>
    <t>The Levantine Front, HTS: Hayat Tahrir al-Sham, Sham Legion</t>
  </si>
  <si>
    <t>The Levantine Front</t>
  </si>
  <si>
    <t>groups formed of 5 bridages, one being Levantine Front</t>
  </si>
  <si>
    <t>Peoples Protection Units, Free Syrian Army, Liwa Thuwar ar-Raqqa</t>
  </si>
  <si>
    <t>https://www.meforum.org/liwa-thuwar-raqqa#:~:text=Liwa%20Thuwar%20al-Raqqa%20(the%20Raqqa%20Revolutionaries%20Brigade)%20was</t>
  </si>
  <si>
    <t>Name</t>
  </si>
  <si>
    <t>Umbrella</t>
  </si>
  <si>
    <t>Total_fights</t>
  </si>
  <si>
    <t>unidentifiable</t>
  </si>
  <si>
    <t>dropping</t>
  </si>
  <si>
    <t>renaming</t>
  </si>
  <si>
    <t>external source needed</t>
  </si>
  <si>
    <t>keeping/ merging</t>
  </si>
  <si>
    <t>keeping/ merging, but less sure</t>
  </si>
  <si>
    <t>Sham Legion, Free Syrian Army, The Levantine Front</t>
  </si>
  <si>
    <t>Hamas</t>
  </si>
  <si>
    <t>Russia</t>
  </si>
  <si>
    <t>before 2011</t>
  </si>
  <si>
    <t xml:space="preserve">Bayareq al-Shaaitat </t>
  </si>
  <si>
    <t xml:space="preserve">Army of Ahl al-Sunni wal Jamaa </t>
  </si>
  <si>
    <t>Syrian Insurgents</t>
  </si>
  <si>
    <t>Kurdish Front</t>
  </si>
  <si>
    <t>fdd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</si>
</sst>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"/>
    </font>
    <font>
      <sz val="11"/>
      <color theme="1"/>
      <name val="Aptos"/>
    </font>
    <font>
      <sz val="11"/>
      <color rgb="FF000000"/>
      <name val="Aptos"/>
    </font>
    <font>
      <sz val="11"/>
      <name val="Aptos"/>
    </font>
    <font>
      <u/>
      <sz val="11"/>
      <color theme="10"/>
      <name val="Aptos"/>
    </font>
    <font>
      <sz val="8"/>
      <name val="Aptos Narrow"/>
      <family val="2"/>
      <scheme val="minor"/>
    </font>
    <font>
      <sz val="14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1" applyFill="1" applyBorder="1"/>
    <xf numFmtId="0" fontId="2" fillId="0" borderId="0" xfId="0" applyFont="1"/>
    <xf numFmtId="0" fontId="3" fillId="0" borderId="0" xfId="0" applyFont="1"/>
    <xf numFmtId="0" fontId="5" fillId="0" borderId="0" xfId="0" applyFont="1"/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8" fillId="0" borderId="0" xfId="1" applyFont="1" applyFill="1" applyBorder="1"/>
    <xf numFmtId="0" fontId="5" fillId="3" borderId="0" xfId="0" applyFont="1" applyFill="1"/>
    <xf numFmtId="0" fontId="1" fillId="0" borderId="0" xfId="1"/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4" fillId="7" borderId="0" xfId="0" applyFont="1" applyFill="1"/>
    <xf numFmtId="0" fontId="4" fillId="7" borderId="0" xfId="0" applyFont="1" applyFill="1" applyAlignment="1">
      <alignment wrapText="1"/>
    </xf>
    <xf numFmtId="0" fontId="5" fillId="8" borderId="0" xfId="0" applyFont="1" applyFill="1"/>
    <xf numFmtId="0" fontId="0" fillId="9" borderId="0" xfId="0" applyFill="1"/>
    <xf numFmtId="0" fontId="10" fillId="2" borderId="0" xfId="0" applyFont="1" applyFill="1"/>
    <xf numFmtId="0" fontId="10" fillId="8" borderId="0" xfId="0" applyFont="1" applyFill="1"/>
    <xf numFmtId="0" fontId="10" fillId="4" borderId="0" xfId="0" applyFont="1" applyFill="1"/>
    <xf numFmtId="0" fontId="10" fillId="6" borderId="0" xfId="0" applyFont="1" applyFill="1"/>
    <xf numFmtId="0" fontId="10" fillId="3" borderId="0" xfId="0" applyFont="1" applyFill="1"/>
    <xf numFmtId="0" fontId="10" fillId="5" borderId="0" xfId="0" applyFont="1" applyFill="1"/>
    <xf numFmtId="0" fontId="10" fillId="9" borderId="0" xfId="0" applyFont="1" applyFill="1"/>
  </cellXfs>
  <cellStyles count="2">
    <cellStyle name="Hyperlink" xfId="1" builtinId="8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fill>
        <patternFill patternType="solid">
          <fgColor indexed="64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fill>
        <patternFill patternType="solid">
          <fgColor indexed="64"/>
          <bgColor theme="2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0E6CF3-94A8-6A47-A83A-C3847FC2443D}" name="Table1" displayName="Table1" ref="A1:J98" totalsRowShown="0" headerRowDxfId="11" dataDxfId="10">
  <autoFilter ref="A1:J98" xr:uid="{9C0E6CF3-94A8-6A47-A83A-C3847FC2443D}"/>
  <tableColumns count="10">
    <tableColumn id="1" xr3:uid="{0824C80C-E04F-E144-B747-5A3F845146D3}" name="Name" dataDxfId="9"/>
    <tableColumn id="2" xr3:uid="{F90983EB-9EE2-9144-882C-D91BED92BBBB}" name="Total_fights" dataDxfId="8">
      <calculatedColumnFormula>_xlfn.XLOOKUP(A2,original_data!B:B,original_data!C:C,0,)</calculatedColumnFormula>
    </tableColumn>
    <tableColumn id="3" xr3:uid="{0ABF876C-57A9-6644-B928-CB05B6581CE2}" name="Active years" dataDxfId="7">
      <calculatedColumnFormula>_xlfn.XLOOKUP($A2,original_data!$B:$B,original_data!D:D,"x",0)</calculatedColumnFormula>
    </tableColumn>
    <tableColumn id="4" xr3:uid="{C4B2E290-6454-7C4D-9CE2-85745926C129}" name="Min_year" dataDxfId="6">
      <calculatedColumnFormula>_xlfn.XLOOKUP($A2,original_data!$B:$B,original_data!E:E,"x",0)</calculatedColumnFormula>
    </tableColumn>
    <tableColumn id="5" xr3:uid="{0626DFA6-26FC-B545-8A5F-4F296655C4D2}" name="Max_year" dataDxfId="5">
      <calculatedColumnFormula>_xlfn.XLOOKUP($A2,original_data!$B:$B,original_data!F:F,"x",0)</calculatedColumnFormula>
    </tableColumn>
    <tableColumn id="6" xr3:uid="{E4E15995-1B28-4A46-B651-349BEC1DC69B}" name="Action" dataDxfId="4"/>
    <tableColumn id="7" xr3:uid="{CE5D9EFC-B5F7-3048-8DA8-7D70FA87236C}" name="Umbrella" dataDxfId="3"/>
    <tableColumn id="8" xr3:uid="{E98742A9-1EF8-1E46-805A-A01AF18D1A0B}" name="Reasoning" dataDxfId="2"/>
    <tableColumn id="9" xr3:uid="{B672D186-0307-2640-B32D-4A1FF5EC4423}" name="Column1" dataDxfId="1"/>
    <tableColumn id="10" xr3:uid="{BA41D76A-69D9-FE40-9C26-6B663E85E42F}" name="Column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n.wikipedia.org/wiki/Jaysh_al-Salam" TargetMode="External"/><Relationship Id="rId2" Type="http://schemas.openxmlformats.org/officeDocument/2006/relationships/hyperlink" Target="https://en.wikipedia.org/wiki/Nour_al-Din_al-Zenki_Movement" TargetMode="External"/><Relationship Id="rId1" Type="http://schemas.openxmlformats.org/officeDocument/2006/relationships/hyperlink" Target="https://en.wikipedia.org/wiki/Free_Syrian_Army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en.wikipedia.org/wiki/Dawn_of_Freedom_Brigad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34FC2-8F06-2B4F-A956-437ED195851D}">
  <dimension ref="B3:C8"/>
  <sheetViews>
    <sheetView workbookViewId="0">
      <selection activeCell="C18" sqref="C18"/>
    </sheetView>
  </sheetViews>
  <sheetFormatPr baseColWidth="10" defaultRowHeight="16" x14ac:dyDescent="0.2"/>
  <cols>
    <col min="1" max="16384" width="10.83203125" style="17"/>
  </cols>
  <sheetData>
    <row r="3" spans="2:3" ht="19" x14ac:dyDescent="0.25">
      <c r="B3" s="18"/>
      <c r="C3" s="24" t="s">
        <v>225</v>
      </c>
    </row>
    <row r="4" spans="2:3" ht="19" x14ac:dyDescent="0.25">
      <c r="B4" s="19"/>
      <c r="C4" s="24" t="s">
        <v>226</v>
      </c>
    </row>
    <row r="5" spans="2:3" ht="19" x14ac:dyDescent="0.25">
      <c r="B5" s="20"/>
      <c r="C5" s="24" t="s">
        <v>227</v>
      </c>
    </row>
    <row r="6" spans="2:3" ht="19" x14ac:dyDescent="0.25">
      <c r="B6" s="21"/>
      <c r="C6" s="24" t="s">
        <v>185</v>
      </c>
    </row>
    <row r="7" spans="2:3" ht="19" x14ac:dyDescent="0.25">
      <c r="B7" s="22"/>
      <c r="C7" s="24" t="s">
        <v>228</v>
      </c>
    </row>
    <row r="8" spans="2:3" ht="19" x14ac:dyDescent="0.25">
      <c r="B8" s="23"/>
      <c r="C8" s="24" t="s">
        <v>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DF6CF-E89C-0248-ADCC-CAAE2F2A0F0F}">
  <dimension ref="A1:J98"/>
  <sheetViews>
    <sheetView tabSelected="1" topLeftCell="A79" zoomScale="142" workbookViewId="0">
      <selection activeCell="A31" sqref="A31"/>
    </sheetView>
  </sheetViews>
  <sheetFormatPr baseColWidth="10" defaultRowHeight="15" x14ac:dyDescent="0.2"/>
  <cols>
    <col min="1" max="1" width="35.5" style="3" bestFit="1" customWidth="1"/>
    <col min="2" max="2" width="11.1640625" style="3" customWidth="1"/>
    <col min="3" max="3" width="12.33203125" style="3" customWidth="1"/>
    <col min="4" max="4" width="9.83203125" style="3" customWidth="1"/>
    <col min="5" max="5" width="10.1640625" style="3" customWidth="1"/>
    <col min="6" max="6" width="9.33203125" style="3" customWidth="1"/>
    <col min="7" max="7" width="32" style="3" bestFit="1" customWidth="1"/>
    <col min="8" max="8" width="33" style="3" bestFit="1" customWidth="1"/>
    <col min="9" max="9" width="125.1640625" style="3" bestFit="1" customWidth="1"/>
    <col min="10" max="10" width="102.6640625" style="3" bestFit="1" customWidth="1"/>
    <col min="11" max="16384" width="10.83203125" style="3"/>
  </cols>
  <sheetData>
    <row r="1" spans="1:10" s="2" customFormat="1" ht="16" x14ac:dyDescent="0.2">
      <c r="A1" s="14" t="s">
        <v>221</v>
      </c>
      <c r="B1" s="15" t="s">
        <v>223</v>
      </c>
      <c r="C1" s="14" t="s">
        <v>164</v>
      </c>
      <c r="D1" s="14" t="s">
        <v>165</v>
      </c>
      <c r="E1" s="14" t="s">
        <v>166</v>
      </c>
      <c r="F1" s="14" t="s">
        <v>186</v>
      </c>
      <c r="G1" s="14" t="s">
        <v>222</v>
      </c>
      <c r="H1" s="14" t="s">
        <v>167</v>
      </c>
      <c r="I1" s="14" t="s">
        <v>212</v>
      </c>
      <c r="J1" s="14" t="s">
        <v>213</v>
      </c>
    </row>
    <row r="2" spans="1:10" x14ac:dyDescent="0.2">
      <c r="A2" s="9" t="s">
        <v>0</v>
      </c>
      <c r="B2" s="4">
        <f>_xlfn.XLOOKUP(A2,original_data!B:B,original_data!C:C,0,)</f>
        <v>1</v>
      </c>
      <c r="C2" s="4">
        <f>_xlfn.XLOOKUP($A2,original_data!$B:$B,original_data!D:D,"x",0)</f>
        <v>1</v>
      </c>
      <c r="D2" s="4">
        <f>_xlfn.XLOOKUP($A2,original_data!$B:$B,original_data!E:E,"x",0)</f>
        <v>2014</v>
      </c>
      <c r="E2" s="4">
        <f>_xlfn.XLOOKUP($A2,original_data!$B:$B,original_data!F:F,"x",0)</f>
        <v>2014</v>
      </c>
      <c r="F2" s="4" t="s">
        <v>158</v>
      </c>
      <c r="G2" s="4" t="s">
        <v>102</v>
      </c>
      <c r="H2" s="4" t="s">
        <v>176</v>
      </c>
      <c r="I2" s="4" t="s">
        <v>117</v>
      </c>
      <c r="J2" s="4"/>
    </row>
    <row r="3" spans="1:10" x14ac:dyDescent="0.2">
      <c r="A3" s="5" t="s">
        <v>22</v>
      </c>
      <c r="B3" s="4">
        <f>_xlfn.XLOOKUP(A3,original_data!B:B,original_data!C:C,0,)</f>
        <v>1</v>
      </c>
      <c r="C3" s="4">
        <f>_xlfn.XLOOKUP($A3,original_data!$B:$B,original_data!D:D,"x",0)</f>
        <v>1</v>
      </c>
      <c r="D3" s="4">
        <f>_xlfn.XLOOKUP($A3,original_data!$B:$B,original_data!E:E,"x",0)</f>
        <v>2015</v>
      </c>
      <c r="E3" s="4">
        <f>_xlfn.XLOOKUP($A3,original_data!$B:$B,original_data!F:F,"x",0)</f>
        <v>2015</v>
      </c>
      <c r="F3" s="4" t="s">
        <v>160</v>
      </c>
      <c r="G3" s="4" t="s">
        <v>110</v>
      </c>
      <c r="H3" s="4" t="s">
        <v>171</v>
      </c>
      <c r="I3" s="4" t="s">
        <v>130</v>
      </c>
      <c r="J3" s="4"/>
    </row>
    <row r="4" spans="1:10" x14ac:dyDescent="0.2">
      <c r="A4" s="5" t="s">
        <v>27</v>
      </c>
      <c r="B4" s="4">
        <f>_xlfn.XLOOKUP(A4,original_data!B:B,original_data!C:C,0,)</f>
        <v>1</v>
      </c>
      <c r="C4" s="4">
        <f>_xlfn.XLOOKUP($A4,original_data!$B:$B,original_data!D:D,"x",0)</f>
        <v>1</v>
      </c>
      <c r="D4" s="4">
        <f>_xlfn.XLOOKUP($A4,original_data!$B:$B,original_data!E:E,"x",0)</f>
        <v>2016</v>
      </c>
      <c r="E4" s="4">
        <f>_xlfn.XLOOKUP($A4,original_data!$B:$B,original_data!F:F,"x",0)</f>
        <v>2016</v>
      </c>
      <c r="F4" s="4" t="s">
        <v>160</v>
      </c>
      <c r="G4" s="4" t="s">
        <v>110</v>
      </c>
      <c r="H4" s="4" t="s">
        <v>171</v>
      </c>
      <c r="I4" s="4"/>
      <c r="J4" s="4"/>
    </row>
    <row r="5" spans="1:10" x14ac:dyDescent="0.2">
      <c r="A5" s="11" t="s">
        <v>28</v>
      </c>
      <c r="B5" s="4">
        <f>_xlfn.XLOOKUP(A5,original_data!B:B,original_data!C:C,0,)</f>
        <v>1</v>
      </c>
      <c r="C5" s="4">
        <f>_xlfn.XLOOKUP($A5,original_data!$B:$B,original_data!D:D,"x",0)</f>
        <v>1</v>
      </c>
      <c r="D5" s="4">
        <f>_xlfn.XLOOKUP($A5,original_data!$B:$B,original_data!E:E,"x",0)</f>
        <v>2015</v>
      </c>
      <c r="E5" s="4">
        <f>_xlfn.XLOOKUP($A5,original_data!$B:$B,original_data!F:F,"x",0)</f>
        <v>2015</v>
      </c>
      <c r="F5" s="4" t="s">
        <v>214</v>
      </c>
      <c r="G5" s="4" t="s">
        <v>232</v>
      </c>
      <c r="H5" s="4" t="s">
        <v>171</v>
      </c>
      <c r="I5" s="4"/>
      <c r="J5" s="4"/>
    </row>
    <row r="6" spans="1:10" x14ac:dyDescent="0.2">
      <c r="A6" s="5" t="s">
        <v>54</v>
      </c>
      <c r="B6" s="4">
        <f>_xlfn.XLOOKUP(A6,original_data!B:B,original_data!C:C,0,)</f>
        <v>1</v>
      </c>
      <c r="C6" s="4">
        <f>_xlfn.XLOOKUP($A6,original_data!$B:$B,original_data!D:D,"x",0)</f>
        <v>1</v>
      </c>
      <c r="D6" s="4">
        <f>_xlfn.XLOOKUP($A6,original_data!$B:$B,original_data!E:E,"x",0)</f>
        <v>2011</v>
      </c>
      <c r="E6" s="4">
        <f>_xlfn.XLOOKUP($A6,original_data!$B:$B,original_data!F:F,"x",0)</f>
        <v>2011</v>
      </c>
      <c r="F6" s="4" t="s">
        <v>160</v>
      </c>
      <c r="G6" s="4" t="s">
        <v>110</v>
      </c>
      <c r="H6" s="4" t="s">
        <v>171</v>
      </c>
      <c r="I6" s="4"/>
      <c r="J6" s="4"/>
    </row>
    <row r="7" spans="1:10" x14ac:dyDescent="0.2">
      <c r="A7" s="5" t="s">
        <v>62</v>
      </c>
      <c r="B7" s="4">
        <f>_xlfn.XLOOKUP(A7,original_data!B:B,original_data!C:C,0,)</f>
        <v>1</v>
      </c>
      <c r="C7" s="4">
        <f>_xlfn.XLOOKUP($A7,original_data!$B:$B,original_data!D:D,"x",0)</f>
        <v>1</v>
      </c>
      <c r="D7" s="4">
        <f>_xlfn.XLOOKUP($A7,original_data!$B:$B,original_data!E:E,"x",0)</f>
        <v>2011</v>
      </c>
      <c r="E7" s="4">
        <f>_xlfn.XLOOKUP($A7,original_data!$B:$B,original_data!F:F,"x",0)</f>
        <v>2011</v>
      </c>
      <c r="F7" s="4" t="s">
        <v>160</v>
      </c>
      <c r="G7" s="4" t="s">
        <v>110</v>
      </c>
      <c r="H7" s="4" t="s">
        <v>171</v>
      </c>
      <c r="I7" s="4"/>
      <c r="J7" s="4"/>
    </row>
    <row r="8" spans="1:10" x14ac:dyDescent="0.2">
      <c r="A8" s="5" t="s">
        <v>67</v>
      </c>
      <c r="B8" s="4">
        <f>_xlfn.XLOOKUP(A8,original_data!B:B,original_data!C:C,0,)</f>
        <v>1</v>
      </c>
      <c r="C8" s="4">
        <f>_xlfn.XLOOKUP($A8,original_data!$B:$B,original_data!D:D,"x",0)</f>
        <v>1</v>
      </c>
      <c r="D8" s="4">
        <f>_xlfn.XLOOKUP($A8,original_data!$B:$B,original_data!E:E,"x",0)</f>
        <v>2018</v>
      </c>
      <c r="E8" s="4">
        <f>_xlfn.XLOOKUP($A8,original_data!$B:$B,original_data!F:F,"x",0)</f>
        <v>2018</v>
      </c>
      <c r="F8" s="4" t="s">
        <v>160</v>
      </c>
      <c r="G8" s="4" t="s">
        <v>110</v>
      </c>
      <c r="H8" s="6" t="s">
        <v>170</v>
      </c>
      <c r="I8" s="4"/>
      <c r="J8" s="4"/>
    </row>
    <row r="9" spans="1:10" x14ac:dyDescent="0.2">
      <c r="A9" s="9" t="s">
        <v>86</v>
      </c>
      <c r="B9" s="4">
        <f>_xlfn.XLOOKUP(A9,original_data!B:B,original_data!C:C,0,)</f>
        <v>2</v>
      </c>
      <c r="C9" s="4">
        <f>_xlfn.XLOOKUP($A9,original_data!$B:$B,original_data!D:D,"x",0)</f>
        <v>1</v>
      </c>
      <c r="D9" s="4">
        <f>_xlfn.XLOOKUP($A9,original_data!$B:$B,original_data!E:E,"x",0)</f>
        <v>2014</v>
      </c>
      <c r="E9" s="4">
        <f>_xlfn.XLOOKUP($A9,original_data!$B:$B,original_data!F:F,"x",0)</f>
        <v>2014</v>
      </c>
      <c r="F9" s="4" t="s">
        <v>158</v>
      </c>
      <c r="G9" s="4" t="s">
        <v>102</v>
      </c>
      <c r="H9" s="4" t="s">
        <v>176</v>
      </c>
      <c r="I9" s="4" t="s">
        <v>122</v>
      </c>
      <c r="J9" s="4" t="s">
        <v>124</v>
      </c>
    </row>
    <row r="10" spans="1:10" x14ac:dyDescent="0.2">
      <c r="A10" s="5" t="s">
        <v>55</v>
      </c>
      <c r="B10" s="4">
        <f>_xlfn.XLOOKUP(A10,original_data!B:B,original_data!C:C,0,)</f>
        <v>2</v>
      </c>
      <c r="C10" s="4">
        <f>_xlfn.XLOOKUP($A10,original_data!$B:$B,original_data!D:D,"x",0)</f>
        <v>2</v>
      </c>
      <c r="D10" s="4">
        <f>_xlfn.XLOOKUP($A10,original_data!$B:$B,original_data!E:E,"x",0)</f>
        <v>2019</v>
      </c>
      <c r="E10" s="4">
        <f>_xlfn.XLOOKUP($A10,original_data!$B:$B,original_data!F:F,"x",0)</f>
        <v>2020</v>
      </c>
      <c r="F10" s="4" t="s">
        <v>160</v>
      </c>
      <c r="G10" s="4" t="s">
        <v>110</v>
      </c>
      <c r="H10" s="4" t="s">
        <v>168</v>
      </c>
      <c r="I10" s="4"/>
      <c r="J10" s="4"/>
    </row>
    <row r="11" spans="1:10" x14ac:dyDescent="0.2">
      <c r="A11" s="5" t="s">
        <v>56</v>
      </c>
      <c r="B11" s="4">
        <f>_xlfn.XLOOKUP(A11,original_data!B:B,original_data!C:C,0,)</f>
        <v>2</v>
      </c>
      <c r="C11" s="4">
        <f>_xlfn.XLOOKUP($A11,original_data!$B:$B,original_data!D:D,"x",0)</f>
        <v>2</v>
      </c>
      <c r="D11" s="4">
        <f>_xlfn.XLOOKUP($A11,original_data!$B:$B,original_data!E:E,"x",0)</f>
        <v>2017</v>
      </c>
      <c r="E11" s="4">
        <f>_xlfn.XLOOKUP($A11,original_data!$B:$B,original_data!F:F,"x",0)</f>
        <v>2021</v>
      </c>
      <c r="F11" s="4" t="s">
        <v>160</v>
      </c>
      <c r="G11" s="4" t="s">
        <v>110</v>
      </c>
      <c r="H11" s="4" t="s">
        <v>169</v>
      </c>
      <c r="I11" s="4"/>
      <c r="J11" s="4"/>
    </row>
    <row r="12" spans="1:10" x14ac:dyDescent="0.2">
      <c r="A12" s="9" t="s">
        <v>238</v>
      </c>
      <c r="B12" s="4">
        <f>_xlfn.XLOOKUP(A12,original_data!B:B,original_data!C:C,0,)</f>
        <v>0</v>
      </c>
      <c r="C12" s="4" t="str">
        <f>_xlfn.XLOOKUP($A12,original_data!$B:$B,original_data!D:D,"x",0)</f>
        <v>x</v>
      </c>
      <c r="D12" s="4" t="str">
        <f>_xlfn.XLOOKUP($A12,original_data!$B:$B,original_data!E:E,"x",0)</f>
        <v>x</v>
      </c>
      <c r="E12" s="4" t="str">
        <f>_xlfn.XLOOKUP($A12,original_data!$B:$B,original_data!F:F,"x",0)</f>
        <v>x</v>
      </c>
      <c r="F12" s="4" t="s">
        <v>158</v>
      </c>
      <c r="G12" s="4" t="s">
        <v>102</v>
      </c>
      <c r="H12" s="4" t="s">
        <v>176</v>
      </c>
      <c r="I12" s="4" t="s">
        <v>172</v>
      </c>
      <c r="J12" s="4"/>
    </row>
    <row r="13" spans="1:10" x14ac:dyDescent="0.2">
      <c r="A13" s="5" t="s">
        <v>32</v>
      </c>
      <c r="B13" s="4">
        <f>_xlfn.XLOOKUP(A13,original_data!B:B,original_data!C:C,0,)</f>
        <v>4</v>
      </c>
      <c r="C13" s="4">
        <f>_xlfn.XLOOKUP($A13,original_data!$B:$B,original_data!D:D,"x",0)</f>
        <v>1</v>
      </c>
      <c r="D13" s="4">
        <f>_xlfn.XLOOKUP($A13,original_data!$B:$B,original_data!E:E,"x",0)</f>
        <v>2013</v>
      </c>
      <c r="E13" s="4">
        <f>_xlfn.XLOOKUP($A13,original_data!$B:$B,original_data!F:F,"x",0)</f>
        <v>2013</v>
      </c>
      <c r="F13" s="4" t="s">
        <v>160</v>
      </c>
      <c r="G13" s="4" t="s">
        <v>110</v>
      </c>
      <c r="H13" s="7" t="s">
        <v>171</v>
      </c>
      <c r="I13" s="4" t="s">
        <v>173</v>
      </c>
      <c r="J13" s="4"/>
    </row>
    <row r="14" spans="1:10" x14ac:dyDescent="0.2">
      <c r="A14" s="9" t="s">
        <v>7</v>
      </c>
      <c r="B14" s="4">
        <f>_xlfn.XLOOKUP(A14,original_data!B:B,original_data!C:C,0,)</f>
        <v>4</v>
      </c>
      <c r="C14" s="4">
        <f>_xlfn.XLOOKUP($A14,original_data!$B:$B,original_data!D:D,"x",0)</f>
        <v>1</v>
      </c>
      <c r="D14" s="4">
        <f>_xlfn.XLOOKUP($A14,original_data!$B:$B,original_data!E:E,"x",0)</f>
        <v>2020</v>
      </c>
      <c r="E14" s="4">
        <f>_xlfn.XLOOKUP($A14,original_data!$B:$B,original_data!F:F,"x",0)</f>
        <v>2020</v>
      </c>
      <c r="F14" s="4" t="s">
        <v>158</v>
      </c>
      <c r="G14" s="4" t="s">
        <v>102</v>
      </c>
      <c r="H14" s="4" t="s">
        <v>176</v>
      </c>
      <c r="I14" s="4" t="s">
        <v>143</v>
      </c>
      <c r="J14" s="4"/>
    </row>
    <row r="15" spans="1:10" x14ac:dyDescent="0.2">
      <c r="A15" s="9" t="s">
        <v>43</v>
      </c>
      <c r="B15" s="4">
        <f>_xlfn.XLOOKUP(A15,original_data!B:B,original_data!C:C,0,)</f>
        <v>5</v>
      </c>
      <c r="C15" s="4">
        <f>_xlfn.XLOOKUP($A15,original_data!$B:$B,original_data!D:D,"x",0)</f>
        <v>1</v>
      </c>
      <c r="D15" s="4">
        <f>_xlfn.XLOOKUP($A15,original_data!$B:$B,original_data!E:E,"x",0)</f>
        <v>2017</v>
      </c>
      <c r="E15" s="4">
        <f>_xlfn.XLOOKUP($A15,original_data!$B:$B,original_data!F:F,"x",0)</f>
        <v>2017</v>
      </c>
      <c r="F15" s="4" t="s">
        <v>158</v>
      </c>
      <c r="G15" s="4" t="s">
        <v>102</v>
      </c>
      <c r="H15" s="4" t="s">
        <v>176</v>
      </c>
      <c r="I15" s="4" t="s">
        <v>152</v>
      </c>
      <c r="J15" s="4"/>
    </row>
    <row r="16" spans="1:10" x14ac:dyDescent="0.2">
      <c r="A16" s="9" t="s">
        <v>88</v>
      </c>
      <c r="B16" s="4">
        <f>_xlfn.XLOOKUP(A16,original_data!B:B,original_data!C:C,0,)</f>
        <v>5</v>
      </c>
      <c r="C16" s="4">
        <f>_xlfn.XLOOKUP($A16,original_data!$B:$B,original_data!D:D,"x",0)</f>
        <v>1</v>
      </c>
      <c r="D16" s="4">
        <f>_xlfn.XLOOKUP($A16,original_data!$B:$B,original_data!E:E,"x",0)</f>
        <v>2012</v>
      </c>
      <c r="E16" s="4">
        <f>_xlfn.XLOOKUP($A16,original_data!$B:$B,original_data!F:F,"x",0)</f>
        <v>2012</v>
      </c>
      <c r="F16" s="4" t="s">
        <v>158</v>
      </c>
      <c r="G16" s="4" t="s">
        <v>102</v>
      </c>
      <c r="H16" s="4" t="s">
        <v>176</v>
      </c>
      <c r="I16" s="4" t="s">
        <v>126</v>
      </c>
      <c r="J16" s="4"/>
    </row>
    <row r="17" spans="1:10" x14ac:dyDescent="0.2">
      <c r="A17" s="9" t="s">
        <v>33</v>
      </c>
      <c r="B17" s="4">
        <f>_xlfn.XLOOKUP(A17,original_data!B:B,original_data!C:C,0,)</f>
        <v>6</v>
      </c>
      <c r="C17" s="4">
        <f>_xlfn.XLOOKUP($A17,original_data!$B:$B,original_data!D:D,"x",0)</f>
        <v>2</v>
      </c>
      <c r="D17" s="4">
        <f>_xlfn.XLOOKUP($A17,original_data!$B:$B,original_data!E:E,"x",0)</f>
        <v>2017</v>
      </c>
      <c r="E17" s="4">
        <f>_xlfn.XLOOKUP($A17,original_data!$B:$B,original_data!F:F,"x",0)</f>
        <v>2020</v>
      </c>
      <c r="F17" s="4" t="s">
        <v>158</v>
      </c>
      <c r="G17" s="4" t="s">
        <v>102</v>
      </c>
      <c r="H17" s="4" t="s">
        <v>201</v>
      </c>
      <c r="I17" s="4" t="s">
        <v>150</v>
      </c>
      <c r="J17" s="4"/>
    </row>
    <row r="18" spans="1:10" x14ac:dyDescent="0.2">
      <c r="A18" s="11" t="s">
        <v>36</v>
      </c>
      <c r="B18" s="4">
        <f>_xlfn.XLOOKUP(A18,original_data!B:B,original_data!C:C,0,)</f>
        <v>7</v>
      </c>
      <c r="C18" s="4">
        <f>_xlfn.XLOOKUP($A18,original_data!$B:$B,original_data!D:D,"x",0)</f>
        <v>5</v>
      </c>
      <c r="D18" s="4">
        <f>_xlfn.XLOOKUP($A18,original_data!$B:$B,original_data!E:E,"x",0)</f>
        <v>2014</v>
      </c>
      <c r="E18" s="4">
        <f>_xlfn.XLOOKUP($A18,original_data!$B:$B,original_data!F:F,"x",0)</f>
        <v>2020</v>
      </c>
      <c r="F18" s="4" t="s">
        <v>214</v>
      </c>
      <c r="G18" s="4" t="s">
        <v>36</v>
      </c>
      <c r="H18" s="4" t="s">
        <v>171</v>
      </c>
      <c r="I18" s="4"/>
      <c r="J18" s="4"/>
    </row>
    <row r="19" spans="1:10" x14ac:dyDescent="0.2">
      <c r="A19" s="9" t="s">
        <v>68</v>
      </c>
      <c r="B19" s="4">
        <f>_xlfn.XLOOKUP(A19,original_data!B:B,original_data!C:C,0,)</f>
        <v>7</v>
      </c>
      <c r="C19" s="4">
        <f>_xlfn.XLOOKUP($A19,original_data!$B:$B,original_data!D:D,"x",0)</f>
        <v>3</v>
      </c>
      <c r="D19" s="4">
        <f>_xlfn.XLOOKUP($A19,original_data!$B:$B,original_data!E:E,"x",0)</f>
        <v>2018</v>
      </c>
      <c r="E19" s="4">
        <f>_xlfn.XLOOKUP($A19,original_data!$B:$B,original_data!F:F,"x",0)</f>
        <v>2021</v>
      </c>
      <c r="F19" s="4" t="s">
        <v>158</v>
      </c>
      <c r="G19" s="4" t="s">
        <v>105</v>
      </c>
      <c r="H19" s="4" t="s">
        <v>176</v>
      </c>
      <c r="I19" s="4" t="s">
        <v>144</v>
      </c>
      <c r="J19" s="4"/>
    </row>
    <row r="20" spans="1:10" x14ac:dyDescent="0.2">
      <c r="A20" s="12" t="s">
        <v>71</v>
      </c>
      <c r="B20" s="4">
        <f>_xlfn.XLOOKUP(A20,original_data!B:B,original_data!C:C,0,)</f>
        <v>8</v>
      </c>
      <c r="C20" s="4">
        <f>_xlfn.XLOOKUP($A20,original_data!$B:$B,original_data!D:D,"x",0)</f>
        <v>1</v>
      </c>
      <c r="D20" s="4">
        <f>_xlfn.XLOOKUP($A20,original_data!$B:$B,original_data!E:E,"x",0)</f>
        <v>2015</v>
      </c>
      <c r="E20" s="4">
        <f>_xlfn.XLOOKUP($A20,original_data!$B:$B,original_data!F:F,"x",0)</f>
        <v>2015</v>
      </c>
      <c r="F20" s="4" t="s">
        <v>158</v>
      </c>
      <c r="G20" s="6" t="s">
        <v>102</v>
      </c>
      <c r="H20" s="6" t="s">
        <v>205</v>
      </c>
      <c r="I20" s="4" t="s">
        <v>125</v>
      </c>
      <c r="J20" s="4"/>
    </row>
    <row r="21" spans="1:10" x14ac:dyDescent="0.2">
      <c r="A21" s="12" t="s">
        <v>45</v>
      </c>
      <c r="B21" s="4">
        <f>_xlfn.XLOOKUP(A21,original_data!B:B,original_data!C:C,0,)</f>
        <v>8</v>
      </c>
      <c r="C21" s="4">
        <f>_xlfn.XLOOKUP($A21,original_data!$B:$B,original_data!D:D,"x",0)</f>
        <v>1</v>
      </c>
      <c r="D21" s="4">
        <f>_xlfn.XLOOKUP($A21,original_data!$B:$B,original_data!E:E,"x",0)</f>
        <v>2015</v>
      </c>
      <c r="E21" s="4">
        <f>_xlfn.XLOOKUP($A21,original_data!$B:$B,original_data!F:F,"x",0)</f>
        <v>2015</v>
      </c>
      <c r="F21" s="4" t="s">
        <v>158</v>
      </c>
      <c r="G21" s="4" t="s">
        <v>107</v>
      </c>
      <c r="H21" s="3" t="s">
        <v>204</v>
      </c>
      <c r="I21" s="4" t="s">
        <v>188</v>
      </c>
      <c r="J21" s="4"/>
    </row>
    <row r="22" spans="1:10" x14ac:dyDescent="0.2">
      <c r="A22" s="9" t="s">
        <v>92</v>
      </c>
      <c r="B22" s="4">
        <f>_xlfn.XLOOKUP(A22,original_data!B:B,original_data!C:C,0,)</f>
        <v>8</v>
      </c>
      <c r="C22" s="4">
        <f>_xlfn.XLOOKUP($A22,original_data!$B:$B,original_data!D:D,"x",0)</f>
        <v>1</v>
      </c>
      <c r="D22" s="4">
        <f>_xlfn.XLOOKUP($A22,original_data!$B:$B,original_data!E:E,"x",0)</f>
        <v>2015</v>
      </c>
      <c r="E22" s="4">
        <f>_xlfn.XLOOKUP($A22,original_data!$B:$B,original_data!F:F,"x",0)</f>
        <v>2015</v>
      </c>
      <c r="F22" s="4" t="s">
        <v>158</v>
      </c>
      <c r="G22" s="4" t="s">
        <v>104</v>
      </c>
      <c r="H22" s="4" t="s">
        <v>176</v>
      </c>
      <c r="I22" s="4" t="s">
        <v>118</v>
      </c>
      <c r="J22" s="4"/>
    </row>
    <row r="23" spans="1:10" x14ac:dyDescent="0.2">
      <c r="A23" s="5" t="s">
        <v>5</v>
      </c>
      <c r="B23" s="4">
        <f>_xlfn.XLOOKUP(A23,original_data!B:B,original_data!C:C,0,)</f>
        <v>9</v>
      </c>
      <c r="C23" s="4">
        <f>_xlfn.XLOOKUP($A23,original_data!$B:$B,original_data!D:D,"x",0)</f>
        <v>1</v>
      </c>
      <c r="D23" s="4">
        <f>_xlfn.XLOOKUP($A23,original_data!$B:$B,original_data!E:E,"x",0)</f>
        <v>2014</v>
      </c>
      <c r="E23" s="4">
        <f>_xlfn.XLOOKUP($A23,original_data!$B:$B,original_data!F:F,"x",0)</f>
        <v>2014</v>
      </c>
      <c r="F23" s="4" t="s">
        <v>160</v>
      </c>
      <c r="G23" s="4" t="s">
        <v>110</v>
      </c>
      <c r="H23" s="4" t="s">
        <v>180</v>
      </c>
      <c r="I23" s="4"/>
      <c r="J23" s="4"/>
    </row>
    <row r="24" spans="1:10" x14ac:dyDescent="0.2">
      <c r="A24" s="5" t="s">
        <v>17</v>
      </c>
      <c r="B24" s="4">
        <f>_xlfn.XLOOKUP(A24,original_data!B:B,original_data!C:C,0,)</f>
        <v>9</v>
      </c>
      <c r="C24" s="4">
        <f>_xlfn.XLOOKUP($A24,original_data!$B:$B,original_data!D:D,"x",0)</f>
        <v>1</v>
      </c>
      <c r="D24" s="4">
        <f>_xlfn.XLOOKUP($A24,original_data!$B:$B,original_data!E:E,"x",0)</f>
        <v>2015</v>
      </c>
      <c r="E24" s="4">
        <f>_xlfn.XLOOKUP($A24,original_data!$B:$B,original_data!F:F,"x",0)</f>
        <v>2015</v>
      </c>
      <c r="F24" s="4" t="s">
        <v>160</v>
      </c>
      <c r="G24" s="4" t="s">
        <v>110</v>
      </c>
      <c r="H24" s="4" t="s">
        <v>171</v>
      </c>
      <c r="I24" s="4"/>
      <c r="J24" s="4"/>
    </row>
    <row r="25" spans="1:10" x14ac:dyDescent="0.2">
      <c r="A25" s="9" t="s">
        <v>53</v>
      </c>
      <c r="B25" s="4">
        <f>_xlfn.XLOOKUP(A25,original_data!B:B,original_data!C:C,0,)</f>
        <v>9</v>
      </c>
      <c r="C25" s="4">
        <f>_xlfn.XLOOKUP($A25,original_data!$B:$B,original_data!D:D,"x",0)</f>
        <v>2</v>
      </c>
      <c r="D25" s="4">
        <f>_xlfn.XLOOKUP($A25,original_data!$B:$B,original_data!E:E,"x",0)</f>
        <v>2016</v>
      </c>
      <c r="E25" s="4">
        <f>_xlfn.XLOOKUP($A25,original_data!$B:$B,original_data!F:F,"x",0)</f>
        <v>2017</v>
      </c>
      <c r="F25" s="4" t="s">
        <v>158</v>
      </c>
      <c r="G25" s="4" t="s">
        <v>102</v>
      </c>
      <c r="H25" s="4" t="s">
        <v>179</v>
      </c>
      <c r="I25" s="4" t="s">
        <v>128</v>
      </c>
      <c r="J25" s="4"/>
    </row>
    <row r="26" spans="1:10" x14ac:dyDescent="0.2">
      <c r="A26" s="11" t="s">
        <v>31</v>
      </c>
      <c r="B26" s="4">
        <f>_xlfn.XLOOKUP(A26,original_data!B:B,original_data!C:C,0,)</f>
        <v>17</v>
      </c>
      <c r="C26" s="4">
        <f>_xlfn.XLOOKUP($A26,original_data!$B:$B,original_data!D:D,"x",0)</f>
        <v>3</v>
      </c>
      <c r="D26" s="4">
        <f>_xlfn.XLOOKUP($A26,original_data!$B:$B,original_data!E:E,"x",0)</f>
        <v>2014</v>
      </c>
      <c r="E26" s="4">
        <f>_xlfn.XLOOKUP($A26,original_data!$B:$B,original_data!F:F,"x",0)</f>
        <v>2017</v>
      </c>
      <c r="F26" s="4" t="s">
        <v>214</v>
      </c>
      <c r="G26" s="4" t="s">
        <v>101</v>
      </c>
      <c r="H26" s="4" t="s">
        <v>197</v>
      </c>
      <c r="I26" s="4"/>
      <c r="J26" s="4"/>
    </row>
    <row r="27" spans="1:10" x14ac:dyDescent="0.2">
      <c r="A27" s="12" t="s">
        <v>42</v>
      </c>
      <c r="B27" s="4">
        <f>_xlfn.XLOOKUP(A27,original_data!B:B,original_data!C:C,0,)</f>
        <v>17</v>
      </c>
      <c r="C27" s="4">
        <f>_xlfn.XLOOKUP($A27,original_data!$B:$B,original_data!D:D,"x",0)</f>
        <v>2</v>
      </c>
      <c r="D27" s="4">
        <f>_xlfn.XLOOKUP($A27,original_data!$B:$B,original_data!E:E,"x",0)</f>
        <v>2015</v>
      </c>
      <c r="E27" s="4">
        <f>_xlfn.XLOOKUP($A27,original_data!$B:$B,original_data!F:F,"x",0)</f>
        <v>2016</v>
      </c>
      <c r="F27" s="4" t="s">
        <v>159</v>
      </c>
      <c r="G27" s="4" t="s">
        <v>103</v>
      </c>
      <c r="H27" s="4"/>
      <c r="I27" s="4"/>
      <c r="J27" s="4"/>
    </row>
    <row r="28" spans="1:10" x14ac:dyDescent="0.2">
      <c r="A28" s="9" t="s">
        <v>9</v>
      </c>
      <c r="B28" s="4">
        <f>_xlfn.XLOOKUP(A28,original_data!B:B,original_data!C:C,0,)</f>
        <v>17</v>
      </c>
      <c r="C28" s="4">
        <f>_xlfn.XLOOKUP($A28,original_data!$B:$B,original_data!D:D,"x",0)</f>
        <v>3</v>
      </c>
      <c r="D28" s="4">
        <f>_xlfn.XLOOKUP($A28,original_data!$B:$B,original_data!E:E,"x",0)</f>
        <v>2014</v>
      </c>
      <c r="E28" s="4">
        <f>_xlfn.XLOOKUP($A28,original_data!$B:$B,original_data!F:F,"x",0)</f>
        <v>2017</v>
      </c>
      <c r="F28" s="4" t="s">
        <v>159</v>
      </c>
      <c r="G28" s="6" t="s">
        <v>105</v>
      </c>
      <c r="H28" s="6" t="s">
        <v>194</v>
      </c>
      <c r="I28" s="4"/>
      <c r="J28" s="4"/>
    </row>
    <row r="29" spans="1:10" x14ac:dyDescent="0.2">
      <c r="A29" s="9" t="s">
        <v>66</v>
      </c>
      <c r="B29" s="4">
        <f>_xlfn.XLOOKUP(A29,original_data!B:B,original_data!C:C,0,)</f>
        <v>18</v>
      </c>
      <c r="C29" s="4">
        <f>_xlfn.XLOOKUP($A29,original_data!$B:$B,original_data!D:D,"x",0)</f>
        <v>2</v>
      </c>
      <c r="D29" s="4">
        <f>_xlfn.XLOOKUP($A29,original_data!$B:$B,original_data!E:E,"x",0)</f>
        <v>2015</v>
      </c>
      <c r="E29" s="4">
        <f>_xlfn.XLOOKUP($A29,original_data!$B:$B,original_data!F:F,"x",0)</f>
        <v>2016</v>
      </c>
      <c r="F29" s="4" t="s">
        <v>159</v>
      </c>
      <c r="G29" s="4" t="s">
        <v>109</v>
      </c>
      <c r="H29" s="6" t="s">
        <v>194</v>
      </c>
      <c r="I29" s="4"/>
      <c r="J29" s="4"/>
    </row>
    <row r="30" spans="1:10" x14ac:dyDescent="0.2">
      <c r="A30" s="9" t="s">
        <v>70</v>
      </c>
      <c r="B30" s="4">
        <f>_xlfn.XLOOKUP(A30,original_data!B:B,original_data!C:C,0,)</f>
        <v>19</v>
      </c>
      <c r="C30" s="4">
        <f>_xlfn.XLOOKUP($A30,original_data!$B:$B,original_data!D:D,"x",0)</f>
        <v>1</v>
      </c>
      <c r="D30" s="4">
        <f>_xlfn.XLOOKUP($A30,original_data!$B:$B,original_data!E:E,"x",0)</f>
        <v>2017</v>
      </c>
      <c r="E30" s="4">
        <f>_xlfn.XLOOKUP($A30,original_data!$B:$B,original_data!F:F,"x",0)</f>
        <v>2017</v>
      </c>
      <c r="F30" s="4" t="s">
        <v>159</v>
      </c>
      <c r="G30" s="4" t="s">
        <v>102</v>
      </c>
      <c r="H30" s="6" t="s">
        <v>194</v>
      </c>
      <c r="I30" s="4"/>
      <c r="J30" s="4"/>
    </row>
    <row r="31" spans="1:10" x14ac:dyDescent="0.2">
      <c r="A31" s="5" t="s">
        <v>77</v>
      </c>
      <c r="B31" s="4">
        <f>_xlfn.XLOOKUP(A31,original_data!B:B,original_data!C:C,0,)</f>
        <v>20</v>
      </c>
      <c r="C31" s="4">
        <f>_xlfn.XLOOKUP($A31,original_data!$B:$B,original_data!D:D,"x",0)</f>
        <v>1</v>
      </c>
      <c r="D31" s="4">
        <f>_xlfn.XLOOKUP($A31,original_data!$B:$B,original_data!E:E,"x",0)</f>
        <v>2013</v>
      </c>
      <c r="E31" s="4">
        <f>_xlfn.XLOOKUP($A31,original_data!$B:$B,original_data!F:F,"x",0)</f>
        <v>2013</v>
      </c>
      <c r="F31" s="4" t="s">
        <v>160</v>
      </c>
      <c r="G31" s="4" t="s">
        <v>110</v>
      </c>
      <c r="H31" s="4" t="s">
        <v>209</v>
      </c>
      <c r="I31" s="4"/>
      <c r="J31" s="4"/>
    </row>
    <row r="32" spans="1:10" x14ac:dyDescent="0.2">
      <c r="A32" s="9" t="s">
        <v>93</v>
      </c>
      <c r="B32" s="4">
        <f>_xlfn.XLOOKUP(A32,original_data!B:B,original_data!C:C,0,)</f>
        <v>20</v>
      </c>
      <c r="C32" s="4">
        <f>_xlfn.XLOOKUP($A32,original_data!$B:$B,original_data!D:D,"x",0)</f>
        <v>1</v>
      </c>
      <c r="D32" s="4">
        <f>_xlfn.XLOOKUP($A32,original_data!$B:$B,original_data!E:E,"x",0)</f>
        <v>2013</v>
      </c>
      <c r="E32" s="4">
        <f>_xlfn.XLOOKUP($A32,original_data!$B:$B,original_data!F:F,"x",0)</f>
        <v>2013</v>
      </c>
      <c r="F32" s="4" t="s">
        <v>158</v>
      </c>
      <c r="G32" s="4" t="s">
        <v>102</v>
      </c>
      <c r="H32" s="4" t="s">
        <v>176</v>
      </c>
      <c r="I32" s="4"/>
      <c r="J32" s="4"/>
    </row>
    <row r="33" spans="1:10" x14ac:dyDescent="0.2">
      <c r="A33" s="9" t="s">
        <v>16</v>
      </c>
      <c r="B33" s="4">
        <f>_xlfn.XLOOKUP(A33,original_data!B:B,original_data!C:C,0,)</f>
        <v>21</v>
      </c>
      <c r="C33" s="4">
        <f>_xlfn.XLOOKUP($A33,original_data!$B:$B,original_data!D:D,"x",0)</f>
        <v>1</v>
      </c>
      <c r="D33" s="4">
        <f>_xlfn.XLOOKUP($A33,original_data!$B:$B,original_data!E:E,"x",0)</f>
        <v>2023</v>
      </c>
      <c r="E33" s="4">
        <f>_xlfn.XLOOKUP($A33,original_data!$B:$B,original_data!F:F,"x",0)</f>
        <v>2023</v>
      </c>
      <c r="F33" s="4" t="s">
        <v>158</v>
      </c>
      <c r="G33" s="4" t="s">
        <v>108</v>
      </c>
      <c r="H33" s="4" t="s">
        <v>176</v>
      </c>
      <c r="I33" s="4" t="s">
        <v>132</v>
      </c>
      <c r="J33" s="4"/>
    </row>
    <row r="34" spans="1:10" x14ac:dyDescent="0.2">
      <c r="A34" s="9" t="s">
        <v>23</v>
      </c>
      <c r="B34" s="4">
        <f>_xlfn.XLOOKUP(A34,original_data!B:B,original_data!C:C,0,)</f>
        <v>27</v>
      </c>
      <c r="C34" s="4">
        <f>_xlfn.XLOOKUP($A34,original_data!$B:$B,original_data!D:D,"x",0)</f>
        <v>2</v>
      </c>
      <c r="D34" s="4">
        <f>_xlfn.XLOOKUP($A34,original_data!$B:$B,original_data!E:E,"x",0)</f>
        <v>2012</v>
      </c>
      <c r="E34" s="4">
        <f>_xlfn.XLOOKUP($A34,original_data!$B:$B,original_data!F:F,"x",0)</f>
        <v>2013</v>
      </c>
      <c r="F34" s="4" t="s">
        <v>158</v>
      </c>
      <c r="G34" s="4" t="s">
        <v>102</v>
      </c>
      <c r="H34" s="4" t="s">
        <v>176</v>
      </c>
      <c r="I34" s="4" t="s">
        <v>131</v>
      </c>
      <c r="J34" s="4"/>
    </row>
    <row r="35" spans="1:10" ht="16" x14ac:dyDescent="0.2">
      <c r="A35" s="12" t="s">
        <v>80</v>
      </c>
      <c r="B35" s="4">
        <f>_xlfn.XLOOKUP(A35,original_data!B:B,original_data!C:C,0,)</f>
        <v>33</v>
      </c>
      <c r="C35" s="4">
        <f>_xlfn.XLOOKUP($A35,original_data!$B:$B,original_data!D:D,"x",0)</f>
        <v>1</v>
      </c>
      <c r="D35" s="4">
        <f>_xlfn.XLOOKUP($A35,original_data!$B:$B,original_data!E:E,"x",0)</f>
        <v>2014</v>
      </c>
      <c r="E35" s="4">
        <f>_xlfn.XLOOKUP($A35,original_data!$B:$B,original_data!F:F,"x",0)</f>
        <v>2014</v>
      </c>
      <c r="F35" s="4" t="s">
        <v>158</v>
      </c>
      <c r="G35" s="4" t="s">
        <v>108</v>
      </c>
      <c r="H35" s="4" t="s">
        <v>176</v>
      </c>
      <c r="I35" s="1" t="s">
        <v>136</v>
      </c>
      <c r="J35" s="4"/>
    </row>
    <row r="36" spans="1:10" x14ac:dyDescent="0.2">
      <c r="A36" s="12" t="s">
        <v>34</v>
      </c>
      <c r="B36" s="4">
        <f>_xlfn.XLOOKUP(A36,original_data!B:B,original_data!C:C,0,)</f>
        <v>40</v>
      </c>
      <c r="C36" s="4">
        <f>_xlfn.XLOOKUP($A36,original_data!$B:$B,original_data!D:D,"x",0)</f>
        <v>2</v>
      </c>
      <c r="D36" s="4">
        <f>_xlfn.XLOOKUP($A36,original_data!$B:$B,original_data!E:E,"x",0)</f>
        <v>2014</v>
      </c>
      <c r="E36" s="4">
        <f>_xlfn.XLOOKUP($A36,original_data!$B:$B,original_data!F:F,"x",0)</f>
        <v>2015</v>
      </c>
      <c r="F36" s="4" t="s">
        <v>159</v>
      </c>
      <c r="G36" s="4" t="s">
        <v>102</v>
      </c>
      <c r="H36" s="4" t="s">
        <v>205</v>
      </c>
      <c r="I36" s="4" t="s">
        <v>114</v>
      </c>
      <c r="J36" s="4"/>
    </row>
    <row r="37" spans="1:10" x14ac:dyDescent="0.2">
      <c r="A37" s="12" t="s">
        <v>47</v>
      </c>
      <c r="B37" s="4">
        <f>_xlfn.XLOOKUP(A37,original_data!B:B,original_data!C:C,0,)</f>
        <v>40</v>
      </c>
      <c r="C37" s="4">
        <f>_xlfn.XLOOKUP($A37,original_data!$B:$B,original_data!D:D,"x",0)</f>
        <v>3</v>
      </c>
      <c r="D37" s="4">
        <f>_xlfn.XLOOKUP($A37,original_data!$B:$B,original_data!E:E,"x",0)</f>
        <v>2014</v>
      </c>
      <c r="E37" s="4">
        <f>_xlfn.XLOOKUP($A37,original_data!$B:$B,original_data!F:F,"x",0)</f>
        <v>2017</v>
      </c>
      <c r="F37" s="4" t="s">
        <v>158</v>
      </c>
      <c r="G37" s="6" t="s">
        <v>105</v>
      </c>
      <c r="H37" s="6" t="s">
        <v>114</v>
      </c>
      <c r="I37" s="4" t="s">
        <v>154</v>
      </c>
      <c r="J37" s="4"/>
    </row>
    <row r="38" spans="1:10" x14ac:dyDescent="0.2">
      <c r="A38" s="5" t="s">
        <v>2</v>
      </c>
      <c r="B38" s="4">
        <f>_xlfn.XLOOKUP(A38,original_data!B:B,original_data!C:C,0,)</f>
        <v>42</v>
      </c>
      <c r="C38" s="4">
        <f>_xlfn.XLOOKUP($A38,original_data!$B:$B,original_data!D:D,"x",0)</f>
        <v>1</v>
      </c>
      <c r="D38" s="4">
        <f>_xlfn.XLOOKUP($A38,original_data!$B:$B,original_data!E:E,"x",0)</f>
        <v>2013</v>
      </c>
      <c r="E38" s="4">
        <f>_xlfn.XLOOKUP($A38,original_data!$B:$B,original_data!F:F,"x",0)</f>
        <v>2013</v>
      </c>
      <c r="F38" s="4" t="s">
        <v>160</v>
      </c>
      <c r="G38" s="4" t="s">
        <v>110</v>
      </c>
      <c r="H38" s="4" t="s">
        <v>209</v>
      </c>
      <c r="I38" s="4" t="s">
        <v>133</v>
      </c>
      <c r="J38" s="4"/>
    </row>
    <row r="39" spans="1:10" x14ac:dyDescent="0.2">
      <c r="A39" s="9" t="s">
        <v>51</v>
      </c>
      <c r="B39" s="4">
        <f>_xlfn.XLOOKUP(A39,original_data!B:B,original_data!C:C,0,)</f>
        <v>42</v>
      </c>
      <c r="C39" s="4">
        <f>_xlfn.XLOOKUP($A39,original_data!$B:$B,original_data!D:D,"x",0)</f>
        <v>2</v>
      </c>
      <c r="D39" s="4">
        <f>_xlfn.XLOOKUP($A39,original_data!$B:$B,original_data!E:E,"x",0)</f>
        <v>2013</v>
      </c>
      <c r="E39" s="4">
        <f>_xlfn.XLOOKUP($A39,original_data!$B:$B,original_data!F:F,"x",0)</f>
        <v>2014</v>
      </c>
      <c r="F39" s="4" t="s">
        <v>158</v>
      </c>
      <c r="G39" s="4" t="s">
        <v>102</v>
      </c>
      <c r="H39" s="4" t="s">
        <v>176</v>
      </c>
      <c r="I39" s="4" t="s">
        <v>120</v>
      </c>
      <c r="J39" s="4"/>
    </row>
    <row r="40" spans="1:10" x14ac:dyDescent="0.2">
      <c r="A40" s="5" t="s">
        <v>91</v>
      </c>
      <c r="B40" s="4">
        <f>_xlfn.XLOOKUP(A40,original_data!B:B,original_data!C:C,0,)</f>
        <v>43</v>
      </c>
      <c r="C40" s="4">
        <f>_xlfn.XLOOKUP($A40,original_data!$B:$B,original_data!D:D,"x",0)</f>
        <v>2</v>
      </c>
      <c r="D40" s="4">
        <f>_xlfn.XLOOKUP($A40,original_data!$B:$B,original_data!E:E,"x",0)</f>
        <v>2016</v>
      </c>
      <c r="E40" s="4">
        <f>_xlfn.XLOOKUP($A40,original_data!$B:$B,original_data!F:F,"x",0)</f>
        <v>2017</v>
      </c>
      <c r="F40" s="4" t="s">
        <v>160</v>
      </c>
      <c r="G40" s="4" t="s">
        <v>110</v>
      </c>
      <c r="H40" s="4" t="s">
        <v>208</v>
      </c>
      <c r="I40" s="4"/>
      <c r="J40" s="4"/>
    </row>
    <row r="41" spans="1:10" x14ac:dyDescent="0.2">
      <c r="A41" s="9" t="s">
        <v>72</v>
      </c>
      <c r="B41" s="4">
        <f>_xlfn.XLOOKUP(A41,original_data!B:B,original_data!C:C,0,)</f>
        <v>45</v>
      </c>
      <c r="C41" s="4">
        <f>_xlfn.XLOOKUP($A41,original_data!$B:$B,original_data!D:D,"x",0)</f>
        <v>1</v>
      </c>
      <c r="D41" s="4">
        <f>_xlfn.XLOOKUP($A41,original_data!$B:$B,original_data!E:E,"x",0)</f>
        <v>2013</v>
      </c>
      <c r="E41" s="4">
        <f>_xlfn.XLOOKUP($A41,original_data!$B:$B,original_data!F:F,"x",0)</f>
        <v>2013</v>
      </c>
      <c r="F41" s="4" t="s">
        <v>159</v>
      </c>
      <c r="G41" s="6" t="s">
        <v>138</v>
      </c>
      <c r="H41" s="6" t="s">
        <v>194</v>
      </c>
      <c r="I41" s="4"/>
      <c r="J41" s="4"/>
    </row>
    <row r="42" spans="1:10" x14ac:dyDescent="0.2">
      <c r="A42" s="12" t="s">
        <v>18</v>
      </c>
      <c r="B42" s="4">
        <f>_xlfn.XLOOKUP(A42,original_data!B:B,original_data!C:C,0,)</f>
        <v>48</v>
      </c>
      <c r="C42" s="4">
        <f>_xlfn.XLOOKUP($A42,original_data!$B:$B,original_data!D:D,"x",0)</f>
        <v>2</v>
      </c>
      <c r="D42" s="4">
        <f>_xlfn.XLOOKUP($A42,original_data!$B:$B,original_data!E:E,"x",0)</f>
        <v>2014</v>
      </c>
      <c r="E42" s="4">
        <f>_xlfn.XLOOKUP($A42,original_data!$B:$B,original_data!F:F,"x",0)</f>
        <v>2015</v>
      </c>
      <c r="F42" s="4" t="s">
        <v>158</v>
      </c>
      <c r="G42" s="4" t="s">
        <v>99</v>
      </c>
      <c r="H42" s="4" t="s">
        <v>210</v>
      </c>
      <c r="I42" s="4"/>
      <c r="J42" s="4"/>
    </row>
    <row r="43" spans="1:10" x14ac:dyDescent="0.2">
      <c r="A43" s="9" t="s">
        <v>63</v>
      </c>
      <c r="B43" s="4">
        <f>_xlfn.XLOOKUP(A43,original_data!B:B,original_data!C:C,0,)</f>
        <v>57</v>
      </c>
      <c r="C43" s="4">
        <f>_xlfn.XLOOKUP($A43,original_data!$B:$B,original_data!D:D,"x",0)</f>
        <v>1</v>
      </c>
      <c r="D43" s="4">
        <f>_xlfn.XLOOKUP($A43,original_data!$B:$B,original_data!E:E,"x",0)</f>
        <v>2018</v>
      </c>
      <c r="E43" s="4">
        <f>_xlfn.XLOOKUP($A43,original_data!$B:$B,original_data!F:F,"x",0)</f>
        <v>2018</v>
      </c>
      <c r="F43" s="4" t="s">
        <v>159</v>
      </c>
      <c r="G43" s="6" t="s">
        <v>63</v>
      </c>
      <c r="H43" s="6" t="s">
        <v>194</v>
      </c>
      <c r="I43" s="4"/>
      <c r="J43" s="4"/>
    </row>
    <row r="44" spans="1:10" x14ac:dyDescent="0.2">
      <c r="A44" s="16" t="s">
        <v>48</v>
      </c>
      <c r="B44" s="4">
        <f>_xlfn.XLOOKUP(A44,original_data!B:B,original_data!C:C,0,)</f>
        <v>59</v>
      </c>
      <c r="C44" s="4">
        <f>_xlfn.XLOOKUP($A44,original_data!$B:$B,original_data!D:D,"x",0)</f>
        <v>3</v>
      </c>
      <c r="D44" s="4">
        <f>_xlfn.XLOOKUP($A44,original_data!$B:$B,original_data!E:E,"x",0)</f>
        <v>2014</v>
      </c>
      <c r="E44" s="4">
        <f>_xlfn.XLOOKUP($A44,original_data!$B:$B,original_data!F:F,"x",0)</f>
        <v>2016</v>
      </c>
      <c r="F44" s="4" t="s">
        <v>202</v>
      </c>
      <c r="G44" s="4" t="s">
        <v>230</v>
      </c>
      <c r="H44" s="4"/>
      <c r="I44" s="4" t="s">
        <v>147</v>
      </c>
      <c r="J44" s="4"/>
    </row>
    <row r="45" spans="1:10" x14ac:dyDescent="0.2">
      <c r="A45" s="5" t="s">
        <v>13</v>
      </c>
      <c r="B45" s="4">
        <f>_xlfn.XLOOKUP(A45,original_data!B:B,original_data!C:C,0,)</f>
        <v>76</v>
      </c>
      <c r="C45" s="4">
        <f>_xlfn.XLOOKUP($A45,original_data!$B:$B,original_data!D:D,"x",0)</f>
        <v>1</v>
      </c>
      <c r="D45" s="4">
        <f>_xlfn.XLOOKUP($A45,original_data!$B:$B,original_data!E:E,"x",0)</f>
        <v>2014</v>
      </c>
      <c r="E45" s="4">
        <f>_xlfn.XLOOKUP($A45,original_data!$B:$B,original_data!F:F,"x",0)</f>
        <v>2014</v>
      </c>
      <c r="F45" s="4" t="s">
        <v>160</v>
      </c>
      <c r="G45" s="4" t="s">
        <v>110</v>
      </c>
      <c r="H45" s="4" t="s">
        <v>170</v>
      </c>
      <c r="I45" s="4" t="s">
        <v>182</v>
      </c>
      <c r="J45" s="4" t="s">
        <v>183</v>
      </c>
    </row>
    <row r="46" spans="1:10" x14ac:dyDescent="0.2">
      <c r="A46" s="5" t="s">
        <v>84</v>
      </c>
      <c r="B46" s="4">
        <f>_xlfn.XLOOKUP(A46,original_data!B:B,original_data!C:C,0,)</f>
        <v>76</v>
      </c>
      <c r="C46" s="4">
        <f>_xlfn.XLOOKUP($A46,original_data!$B:$B,original_data!D:D,"x",0)</f>
        <v>1</v>
      </c>
      <c r="D46" s="4">
        <f>_xlfn.XLOOKUP($A46,original_data!$B:$B,original_data!E:E,"x",0)</f>
        <v>2014</v>
      </c>
      <c r="E46" s="4">
        <f>_xlfn.XLOOKUP($A46,original_data!$B:$B,original_data!F:F,"x",0)</f>
        <v>2014</v>
      </c>
      <c r="F46" s="4" t="s">
        <v>160</v>
      </c>
      <c r="G46" s="4" t="s">
        <v>110</v>
      </c>
      <c r="H46" s="4" t="s">
        <v>170</v>
      </c>
      <c r="I46" s="4" t="s">
        <v>181</v>
      </c>
      <c r="J46" s="4"/>
    </row>
    <row r="47" spans="1:10" x14ac:dyDescent="0.2">
      <c r="A47" s="9" t="s">
        <v>82</v>
      </c>
      <c r="B47" s="4">
        <f>_xlfn.XLOOKUP(A47,original_data!B:B,original_data!C:C,0,)</f>
        <v>78</v>
      </c>
      <c r="C47" s="4">
        <f>_xlfn.XLOOKUP($A47,original_data!$B:$B,original_data!D:D,"x",0)</f>
        <v>2</v>
      </c>
      <c r="D47" s="4">
        <f>_xlfn.XLOOKUP($A47,original_data!$B:$B,original_data!E:E,"x",0)</f>
        <v>2014</v>
      </c>
      <c r="E47" s="4">
        <f>_xlfn.XLOOKUP($A47,original_data!$B:$B,original_data!F:F,"x",0)</f>
        <v>2017</v>
      </c>
      <c r="F47" s="4" t="s">
        <v>158</v>
      </c>
      <c r="G47" s="4" t="s">
        <v>102</v>
      </c>
      <c r="H47" s="4" t="s">
        <v>201</v>
      </c>
      <c r="I47" s="4" t="s">
        <v>134</v>
      </c>
      <c r="J47" s="4"/>
    </row>
    <row r="48" spans="1:10" x14ac:dyDescent="0.2">
      <c r="A48" s="12" t="s">
        <v>19</v>
      </c>
      <c r="B48" s="4">
        <f>_xlfn.XLOOKUP(A48,original_data!B:B,original_data!C:C,0,)</f>
        <v>89</v>
      </c>
      <c r="C48" s="4">
        <f>_xlfn.XLOOKUP($A48,original_data!$B:$B,original_data!D:D,"x",0)</f>
        <v>1</v>
      </c>
      <c r="D48" s="4">
        <f>_xlfn.XLOOKUP($A48,original_data!$B:$B,original_data!E:E,"x",0)</f>
        <v>2014</v>
      </c>
      <c r="E48" s="4">
        <f>_xlfn.XLOOKUP($A48,original_data!$B:$B,original_data!F:F,"x",0)</f>
        <v>2014</v>
      </c>
      <c r="F48" s="4" t="s">
        <v>158</v>
      </c>
      <c r="G48" s="4" t="s">
        <v>102</v>
      </c>
      <c r="H48" s="4" t="s">
        <v>176</v>
      </c>
      <c r="I48" s="4" t="s">
        <v>211</v>
      </c>
      <c r="J48" s="4"/>
    </row>
    <row r="49" spans="1:10" x14ac:dyDescent="0.2">
      <c r="A49" s="9" t="s">
        <v>90</v>
      </c>
      <c r="B49" s="4">
        <f>_xlfn.XLOOKUP(A49,original_data!B:B,original_data!C:C,0,)</f>
        <v>97</v>
      </c>
      <c r="C49" s="4">
        <f>_xlfn.XLOOKUP($A49,original_data!$B:$B,original_data!D:D,"x",0)</f>
        <v>3</v>
      </c>
      <c r="D49" s="4">
        <f>_xlfn.XLOOKUP($A49,original_data!$B:$B,original_data!E:E,"x",0)</f>
        <v>2015</v>
      </c>
      <c r="E49" s="4">
        <f>_xlfn.XLOOKUP($A49,original_data!$B:$B,original_data!F:F,"x",0)</f>
        <v>2018</v>
      </c>
      <c r="F49" s="4" t="s">
        <v>158</v>
      </c>
      <c r="G49" s="4" t="s">
        <v>102</v>
      </c>
      <c r="H49" s="4" t="s">
        <v>176</v>
      </c>
      <c r="I49" s="4" t="s">
        <v>145</v>
      </c>
      <c r="J49" s="4"/>
    </row>
    <row r="50" spans="1:10" x14ac:dyDescent="0.2">
      <c r="A50" s="9" t="s">
        <v>78</v>
      </c>
      <c r="B50" s="4">
        <f>_xlfn.XLOOKUP(A50,original_data!B:B,original_data!C:C,0,)</f>
        <v>110</v>
      </c>
      <c r="C50" s="4">
        <f>_xlfn.XLOOKUP($A50,original_data!$B:$B,original_data!D:D,"x",0)</f>
        <v>1</v>
      </c>
      <c r="D50" s="4">
        <f>_xlfn.XLOOKUP($A50,original_data!$B:$B,original_data!E:E,"x",0)</f>
        <v>2015</v>
      </c>
      <c r="E50" s="4">
        <f>_xlfn.XLOOKUP($A50,original_data!$B:$B,original_data!F:F,"x",0)</f>
        <v>2015</v>
      </c>
      <c r="F50" s="3" t="s">
        <v>158</v>
      </c>
      <c r="G50" s="4" t="s">
        <v>108</v>
      </c>
      <c r="H50" s="4" t="s">
        <v>176</v>
      </c>
      <c r="I50" s="4" t="s">
        <v>137</v>
      </c>
      <c r="J50" s="4"/>
    </row>
    <row r="51" spans="1:10" x14ac:dyDescent="0.2">
      <c r="A51" s="9" t="s">
        <v>74</v>
      </c>
      <c r="B51" s="4">
        <f>_xlfn.XLOOKUP(A51,original_data!B:B,original_data!C:C,0,)</f>
        <v>119</v>
      </c>
      <c r="C51" s="4">
        <f>_xlfn.XLOOKUP($A51,original_data!$B:$B,original_data!D:D,"x",0)</f>
        <v>3</v>
      </c>
      <c r="D51" s="4">
        <f>_xlfn.XLOOKUP($A51,original_data!$B:$B,original_data!E:E,"x",0)</f>
        <v>2015</v>
      </c>
      <c r="E51" s="4">
        <f>_xlfn.XLOOKUP($A51,original_data!$B:$B,original_data!F:F,"x",0)</f>
        <v>2017</v>
      </c>
      <c r="F51" s="4" t="s">
        <v>158</v>
      </c>
      <c r="G51" s="6" t="s">
        <v>104</v>
      </c>
      <c r="H51" s="6" t="s">
        <v>207</v>
      </c>
      <c r="I51" s="4" t="s">
        <v>118</v>
      </c>
      <c r="J51" s="4"/>
    </row>
    <row r="52" spans="1:10" x14ac:dyDescent="0.2">
      <c r="A52" s="9" t="s">
        <v>85</v>
      </c>
      <c r="B52" s="4">
        <f>_xlfn.XLOOKUP(A52,original_data!B:B,original_data!C:C,0,)</f>
        <v>119</v>
      </c>
      <c r="C52" s="4">
        <f>_xlfn.XLOOKUP($A52,original_data!$B:$B,original_data!D:D,"x",0)</f>
        <v>3</v>
      </c>
      <c r="D52" s="4">
        <f>_xlfn.XLOOKUP($A52,original_data!$B:$B,original_data!E:E,"x",0)</f>
        <v>2015</v>
      </c>
      <c r="E52" s="4">
        <f>_xlfn.XLOOKUP($A52,original_data!$B:$B,original_data!F:F,"x",0)</f>
        <v>2017</v>
      </c>
      <c r="F52" s="4" t="s">
        <v>158</v>
      </c>
      <c r="G52" s="4" t="s">
        <v>104</v>
      </c>
      <c r="H52" s="6" t="s">
        <v>207</v>
      </c>
      <c r="I52" s="4" t="s">
        <v>146</v>
      </c>
      <c r="J52" s="4"/>
    </row>
    <row r="53" spans="1:10" x14ac:dyDescent="0.2">
      <c r="A53" s="9" t="s">
        <v>10</v>
      </c>
      <c r="B53" s="4">
        <f>_xlfn.XLOOKUP(A53,original_data!B:B,original_data!C:C,0,)</f>
        <v>125</v>
      </c>
      <c r="C53" s="4">
        <f>_xlfn.XLOOKUP($A53,original_data!$B:$B,original_data!D:D,"x",0)</f>
        <v>1</v>
      </c>
      <c r="D53" s="4">
        <f>_xlfn.XLOOKUP($A53,original_data!$B:$B,original_data!E:E,"x",0)</f>
        <v>2013</v>
      </c>
      <c r="E53" s="4">
        <f>_xlfn.XLOOKUP($A53,original_data!$B:$B,original_data!F:F,"x",0)</f>
        <v>2013</v>
      </c>
      <c r="F53" s="4" t="s">
        <v>159</v>
      </c>
      <c r="G53" s="6" t="s">
        <v>139</v>
      </c>
      <c r="H53" s="6" t="s">
        <v>194</v>
      </c>
      <c r="I53" s="4" t="s">
        <v>116</v>
      </c>
      <c r="J53" s="4"/>
    </row>
    <row r="54" spans="1:10" x14ac:dyDescent="0.2">
      <c r="A54" s="13" t="s">
        <v>94</v>
      </c>
      <c r="B54" s="4">
        <f>_xlfn.XLOOKUP(A54,original_data!B:B,original_data!C:C,0,)</f>
        <v>0</v>
      </c>
      <c r="C54" s="4" t="str">
        <f>_xlfn.XLOOKUP($A54,original_data!$B:$B,original_data!D:D,"x",0)</f>
        <v>x</v>
      </c>
      <c r="D54" s="4" t="str">
        <f>_xlfn.XLOOKUP($A54,original_data!$B:$B,original_data!E:E,"x",0)</f>
        <v>x</v>
      </c>
      <c r="E54" s="4" t="str">
        <f>_xlfn.XLOOKUP($A54,original_data!$B:$B,original_data!F:F,"x",0)</f>
        <v>x</v>
      </c>
      <c r="F54" s="4" t="s">
        <v>190</v>
      </c>
      <c r="G54" s="4" t="s">
        <v>192</v>
      </c>
      <c r="H54" s="4" t="s">
        <v>185</v>
      </c>
      <c r="I54" s="4" t="s">
        <v>187</v>
      </c>
      <c r="J54" s="4"/>
    </row>
    <row r="55" spans="1:10" x14ac:dyDescent="0.2">
      <c r="A55" s="13" t="s">
        <v>69</v>
      </c>
      <c r="B55" s="4">
        <f>_xlfn.XLOOKUP(A55,original_data!B:B,original_data!C:C,0,)</f>
        <v>136</v>
      </c>
      <c r="C55" s="4">
        <f>_xlfn.XLOOKUP($A55,original_data!$B:$B,original_data!D:D,"x",0)</f>
        <v>1</v>
      </c>
      <c r="D55" s="4">
        <f>_xlfn.XLOOKUP($A55,original_data!$B:$B,original_data!E:E,"x",0)</f>
        <v>2014</v>
      </c>
      <c r="E55" s="4">
        <f>_xlfn.XLOOKUP($A55,original_data!$B:$B,original_data!F:F,"x",0)</f>
        <v>2014</v>
      </c>
      <c r="F55" s="4" t="s">
        <v>190</v>
      </c>
      <c r="G55" s="4" t="s">
        <v>192</v>
      </c>
      <c r="H55" s="4" t="s">
        <v>185</v>
      </c>
      <c r="I55" s="4" t="s">
        <v>187</v>
      </c>
      <c r="J55" s="4"/>
    </row>
    <row r="56" spans="1:10" x14ac:dyDescent="0.2">
      <c r="A56" s="13" t="s">
        <v>95</v>
      </c>
      <c r="B56" s="4">
        <f>_xlfn.XLOOKUP(A56,original_data!B:B,original_data!C:C,0,)</f>
        <v>0</v>
      </c>
      <c r="C56" s="4" t="str">
        <f>_xlfn.XLOOKUP($A56,original_data!$B:$B,original_data!D:D,"x",0)</f>
        <v>x</v>
      </c>
      <c r="D56" s="4" t="str">
        <f>_xlfn.XLOOKUP($A56,original_data!$B:$B,original_data!E:E,"x",0)</f>
        <v>x</v>
      </c>
      <c r="E56" s="4" t="str">
        <f>_xlfn.XLOOKUP($A56,original_data!$B:$B,original_data!F:F,"x",0)</f>
        <v>x</v>
      </c>
      <c r="F56" s="4" t="s">
        <v>190</v>
      </c>
      <c r="G56" s="4" t="s">
        <v>192</v>
      </c>
      <c r="H56" s="4" t="s">
        <v>185</v>
      </c>
      <c r="I56" s="4" t="s">
        <v>187</v>
      </c>
      <c r="J56" s="4"/>
    </row>
    <row r="57" spans="1:10" x14ac:dyDescent="0.2">
      <c r="A57" s="13" t="s">
        <v>73</v>
      </c>
      <c r="B57" s="4">
        <f>_xlfn.XLOOKUP(A57,original_data!B:B,original_data!C:C,0,)</f>
        <v>136</v>
      </c>
      <c r="C57" s="4">
        <f>_xlfn.XLOOKUP($A57,original_data!$B:$B,original_data!D:D,"x",0)</f>
        <v>1</v>
      </c>
      <c r="D57" s="4">
        <f>_xlfn.XLOOKUP($A57,original_data!$B:$B,original_data!E:E,"x",0)</f>
        <v>2014</v>
      </c>
      <c r="E57" s="4">
        <f>_xlfn.XLOOKUP($A57,original_data!$B:$B,original_data!F:F,"x",0)</f>
        <v>2014</v>
      </c>
      <c r="F57" s="4" t="s">
        <v>185</v>
      </c>
      <c r="G57" s="4" t="s">
        <v>73</v>
      </c>
      <c r="H57" s="4"/>
      <c r="I57" s="4" t="s">
        <v>141</v>
      </c>
      <c r="J57" s="4"/>
    </row>
    <row r="58" spans="1:10" x14ac:dyDescent="0.2">
      <c r="A58" s="9" t="s">
        <v>8</v>
      </c>
      <c r="B58" s="4">
        <f>_xlfn.XLOOKUP(A58,original_data!B:B,original_data!C:C,0,)</f>
        <v>136</v>
      </c>
      <c r="C58" s="4">
        <f>_xlfn.XLOOKUP($A58,original_data!$B:$B,original_data!D:D,"x",0)</f>
        <v>1</v>
      </c>
      <c r="D58" s="4">
        <f>_xlfn.XLOOKUP($A58,original_data!$B:$B,original_data!E:E,"x",0)</f>
        <v>2014</v>
      </c>
      <c r="E58" s="4">
        <f>_xlfn.XLOOKUP($A58,original_data!$B:$B,original_data!F:F,"x",0)</f>
        <v>2014</v>
      </c>
      <c r="F58" s="4" t="s">
        <v>158</v>
      </c>
      <c r="G58" s="4" t="s">
        <v>99</v>
      </c>
      <c r="H58" s="4" t="s">
        <v>176</v>
      </c>
      <c r="I58" s="4" t="s">
        <v>142</v>
      </c>
      <c r="J58" s="4" t="s">
        <v>195</v>
      </c>
    </row>
    <row r="59" spans="1:10" x14ac:dyDescent="0.2">
      <c r="A59" s="9" t="s">
        <v>81</v>
      </c>
      <c r="B59" s="4">
        <f>_xlfn.XLOOKUP(A59,original_data!B:B,original_data!C:C,0,)</f>
        <v>138</v>
      </c>
      <c r="C59" s="4">
        <f>_xlfn.XLOOKUP($A59,original_data!$B:$B,original_data!D:D,"x",0)</f>
        <v>1</v>
      </c>
      <c r="D59" s="4">
        <f>_xlfn.XLOOKUP($A59,original_data!$B:$B,original_data!E:E,"x",0)</f>
        <v>2014</v>
      </c>
      <c r="E59" s="4">
        <f>_xlfn.XLOOKUP($A59,original_data!$B:$B,original_data!F:F,"x",0)</f>
        <v>2014</v>
      </c>
      <c r="F59" s="4" t="s">
        <v>158</v>
      </c>
      <c r="G59" s="4" t="s">
        <v>99</v>
      </c>
      <c r="H59" s="4" t="s">
        <v>176</v>
      </c>
      <c r="I59" s="4" t="s">
        <v>135</v>
      </c>
      <c r="J59" s="4"/>
    </row>
    <row r="60" spans="1:10" x14ac:dyDescent="0.2">
      <c r="A60" s="12" t="s">
        <v>79</v>
      </c>
      <c r="B60" s="4">
        <f>_xlfn.XLOOKUP(A60,original_data!B:B,original_data!C:C,0,)</f>
        <v>144</v>
      </c>
      <c r="C60" s="4">
        <f>_xlfn.XLOOKUP($A60,original_data!$B:$B,original_data!D:D,"x",0)</f>
        <v>1</v>
      </c>
      <c r="D60" s="4">
        <f>_xlfn.XLOOKUP($A60,original_data!$B:$B,original_data!E:E,"x",0)</f>
        <v>2014</v>
      </c>
      <c r="E60" s="4">
        <f>_xlfn.XLOOKUP($A60,original_data!$B:$B,original_data!F:F,"x",0)</f>
        <v>2014</v>
      </c>
      <c r="F60" s="4" t="s">
        <v>158</v>
      </c>
      <c r="G60" s="4" t="s">
        <v>102</v>
      </c>
      <c r="H60" s="4"/>
      <c r="I60" s="4" t="s">
        <v>220</v>
      </c>
      <c r="J60" s="4"/>
    </row>
    <row r="61" spans="1:10" x14ac:dyDescent="0.2">
      <c r="A61" s="9" t="s">
        <v>24</v>
      </c>
      <c r="B61" s="4">
        <f>_xlfn.XLOOKUP(A61,original_data!B:B,original_data!C:C,0,)</f>
        <v>146</v>
      </c>
      <c r="C61" s="4">
        <f>_xlfn.XLOOKUP($A61,original_data!$B:$B,original_data!D:D,"x",0)</f>
        <v>7</v>
      </c>
      <c r="D61" s="4">
        <f>_xlfn.XLOOKUP($A61,original_data!$B:$B,original_data!E:E,"x",0)</f>
        <v>2017</v>
      </c>
      <c r="E61" s="4">
        <f>_xlfn.XLOOKUP($A61,original_data!$B:$B,original_data!F:F,"x",0)</f>
        <v>2023</v>
      </c>
      <c r="F61" s="4" t="s">
        <v>159</v>
      </c>
      <c r="G61" s="4" t="s">
        <v>96</v>
      </c>
      <c r="H61" s="4" t="s">
        <v>197</v>
      </c>
      <c r="I61" s="4"/>
      <c r="J61" s="4"/>
    </row>
    <row r="62" spans="1:10" x14ac:dyDescent="0.2">
      <c r="A62" s="13" t="s">
        <v>11</v>
      </c>
      <c r="B62" s="4">
        <f>_xlfn.XLOOKUP(A62,original_data!B:B,original_data!C:C,0,)</f>
        <v>147</v>
      </c>
      <c r="C62" s="4">
        <f>_xlfn.XLOOKUP($A62,original_data!$B:$B,original_data!D:D,"x",0)</f>
        <v>1</v>
      </c>
      <c r="D62" s="4">
        <f>_xlfn.XLOOKUP($A62,original_data!$B:$B,original_data!E:E,"x",0)</f>
        <v>2014</v>
      </c>
      <c r="E62" s="4">
        <f>_xlfn.XLOOKUP($A62,original_data!$B:$B,original_data!F:F,"x",0)</f>
        <v>2014</v>
      </c>
      <c r="F62" s="4" t="s">
        <v>190</v>
      </c>
      <c r="G62" s="4" t="s">
        <v>192</v>
      </c>
      <c r="H62" s="4"/>
      <c r="I62" s="4"/>
      <c r="J62" s="4"/>
    </row>
    <row r="63" spans="1:10" x14ac:dyDescent="0.2">
      <c r="A63" s="9" t="s">
        <v>6</v>
      </c>
      <c r="B63" s="4">
        <f>_xlfn.XLOOKUP(A63,original_data!B:B,original_data!C:C,0,)</f>
        <v>155</v>
      </c>
      <c r="C63" s="4">
        <f>_xlfn.XLOOKUP($A63,original_data!$B:$B,original_data!D:D,"x",0)</f>
        <v>4</v>
      </c>
      <c r="D63" s="4">
        <f>_xlfn.XLOOKUP($A63,original_data!$B:$B,original_data!E:E,"x",0)</f>
        <v>2015</v>
      </c>
      <c r="E63" s="4">
        <f>_xlfn.XLOOKUP($A63,original_data!$B:$B,original_data!F:F,"x",0)</f>
        <v>2018</v>
      </c>
      <c r="F63" s="4" t="s">
        <v>159</v>
      </c>
      <c r="G63" s="4" t="s">
        <v>6</v>
      </c>
      <c r="H63" s="4" t="s">
        <v>198</v>
      </c>
      <c r="I63" s="4" t="s">
        <v>148</v>
      </c>
      <c r="J63" s="4"/>
    </row>
    <row r="64" spans="1:10" x14ac:dyDescent="0.2">
      <c r="A64" s="9" t="s">
        <v>26</v>
      </c>
      <c r="B64" s="4">
        <f>_xlfn.XLOOKUP(A64,original_data!B:B,original_data!C:C,0,)</f>
        <v>155</v>
      </c>
      <c r="C64" s="4">
        <f>_xlfn.XLOOKUP($A64,original_data!$B:$B,original_data!D:D,"x",0)</f>
        <v>10</v>
      </c>
      <c r="D64" s="4">
        <f>_xlfn.XLOOKUP($A64,original_data!$B:$B,original_data!E:E,"x",0)</f>
        <v>2014</v>
      </c>
      <c r="E64" s="4">
        <f>_xlfn.XLOOKUP($A64,original_data!$B:$B,original_data!F:F,"x",0)</f>
        <v>2023</v>
      </c>
      <c r="F64" s="4" t="s">
        <v>159</v>
      </c>
      <c r="G64" s="4" t="s">
        <v>98</v>
      </c>
      <c r="H64" s="4" t="s">
        <v>197</v>
      </c>
      <c r="I64" s="4"/>
      <c r="J64" s="4"/>
    </row>
    <row r="65" spans="1:10" x14ac:dyDescent="0.2">
      <c r="A65" s="9" t="s">
        <v>30</v>
      </c>
      <c r="B65" s="4">
        <f>_xlfn.XLOOKUP(A65,original_data!B:B,original_data!C:C,0,)</f>
        <v>159</v>
      </c>
      <c r="C65" s="4">
        <f>_xlfn.XLOOKUP($A65,original_data!$B:$B,original_data!D:D,"x",0)</f>
        <v>4</v>
      </c>
      <c r="D65" s="4">
        <f>_xlfn.XLOOKUP($A65,original_data!$B:$B,original_data!E:E,"x",0)</f>
        <v>2015</v>
      </c>
      <c r="E65" s="4">
        <f>_xlfn.XLOOKUP($A65,original_data!$B:$B,original_data!F:F,"x",0)</f>
        <v>2021</v>
      </c>
      <c r="F65" s="4" t="s">
        <v>159</v>
      </c>
      <c r="G65" s="4" t="s">
        <v>100</v>
      </c>
      <c r="H65" s="4" t="s">
        <v>197</v>
      </c>
      <c r="I65" s="4"/>
      <c r="J65" s="4"/>
    </row>
    <row r="66" spans="1:10" ht="16" x14ac:dyDescent="0.2">
      <c r="A66" s="9" t="s">
        <v>15</v>
      </c>
      <c r="B66" s="4">
        <f>_xlfn.XLOOKUP(A66,original_data!B:B,original_data!C:C,0,)</f>
        <v>165</v>
      </c>
      <c r="C66" s="4">
        <f>_xlfn.XLOOKUP($A66,original_data!$B:$B,original_data!D:D,"x",0)</f>
        <v>2</v>
      </c>
      <c r="D66" s="4">
        <f>_xlfn.XLOOKUP($A66,original_data!$B:$B,original_data!E:E,"x",0)</f>
        <v>2013</v>
      </c>
      <c r="E66" s="4">
        <f>_xlfn.XLOOKUP($A66,original_data!$B:$B,original_data!F:F,"x",0)</f>
        <v>2014</v>
      </c>
      <c r="F66" s="4" t="s">
        <v>158</v>
      </c>
      <c r="G66" s="4" t="s">
        <v>102</v>
      </c>
      <c r="H66" s="4" t="s">
        <v>176</v>
      </c>
      <c r="I66" s="10" t="s">
        <v>189</v>
      </c>
      <c r="J66" s="4"/>
    </row>
    <row r="67" spans="1:10" x14ac:dyDescent="0.2">
      <c r="A67" s="9" t="s">
        <v>52</v>
      </c>
      <c r="B67" s="4">
        <f>_xlfn.XLOOKUP(A67,original_data!B:B,original_data!C:C,0,)</f>
        <v>172</v>
      </c>
      <c r="C67" s="4">
        <f>_xlfn.XLOOKUP($A67,original_data!$B:$B,original_data!D:D,"x",0)</f>
        <v>4</v>
      </c>
      <c r="D67" s="4">
        <f>_xlfn.XLOOKUP($A67,original_data!$B:$B,original_data!E:E,"x",0)</f>
        <v>2014</v>
      </c>
      <c r="E67" s="4">
        <f>_xlfn.XLOOKUP($A67,original_data!$B:$B,original_data!F:F,"x",0)</f>
        <v>2018</v>
      </c>
      <c r="F67" s="4" t="s">
        <v>159</v>
      </c>
      <c r="G67" s="6" t="s">
        <v>153</v>
      </c>
      <c r="H67" s="6" t="s">
        <v>194</v>
      </c>
      <c r="I67" s="8" t="s">
        <v>121</v>
      </c>
      <c r="J67" s="4"/>
    </row>
    <row r="68" spans="1:10" x14ac:dyDescent="0.2">
      <c r="A68" s="9" t="s">
        <v>83</v>
      </c>
      <c r="B68" s="4">
        <f>_xlfn.XLOOKUP(A68,original_data!B:B,original_data!C:C,0,)</f>
        <v>206</v>
      </c>
      <c r="C68" s="4">
        <f>_xlfn.XLOOKUP($A68,original_data!$B:$B,original_data!D:D,"x",0)</f>
        <v>1</v>
      </c>
      <c r="D68" s="4">
        <f>_xlfn.XLOOKUP($A68,original_data!$B:$B,original_data!E:E,"x",0)</f>
        <v>2015</v>
      </c>
      <c r="E68" s="4">
        <f>_xlfn.XLOOKUP($A68,original_data!$B:$B,original_data!F:F,"x",0)</f>
        <v>2015</v>
      </c>
      <c r="F68" s="4" t="s">
        <v>158</v>
      </c>
      <c r="G68" s="4" t="s">
        <v>108</v>
      </c>
      <c r="H68" s="4" t="s">
        <v>176</v>
      </c>
      <c r="I68" s="4" t="s">
        <v>129</v>
      </c>
      <c r="J68" s="4"/>
    </row>
    <row r="69" spans="1:10" x14ac:dyDescent="0.2">
      <c r="A69" s="9" t="s">
        <v>50</v>
      </c>
      <c r="B69" s="4">
        <f>_xlfn.XLOOKUP(A69,original_data!B:B,original_data!C:C,0,)</f>
        <v>208</v>
      </c>
      <c r="C69" s="4">
        <f>_xlfn.XLOOKUP($A69,original_data!$B:$B,original_data!D:D,"x",0)</f>
        <v>2</v>
      </c>
      <c r="D69" s="4">
        <f>_xlfn.XLOOKUP($A69,original_data!$B:$B,original_data!E:E,"x",0)</f>
        <v>2018</v>
      </c>
      <c r="E69" s="4">
        <f>_xlfn.XLOOKUP($A69,original_data!$B:$B,original_data!F:F,"x",0)</f>
        <v>2019</v>
      </c>
      <c r="F69" s="4" t="s">
        <v>158</v>
      </c>
      <c r="G69" s="4" t="s">
        <v>102</v>
      </c>
      <c r="H69" s="4" t="s">
        <v>176</v>
      </c>
      <c r="I69" s="4" t="s">
        <v>206</v>
      </c>
      <c r="J69" s="4"/>
    </row>
    <row r="70" spans="1:10" x14ac:dyDescent="0.2">
      <c r="A70" s="9" t="s">
        <v>40</v>
      </c>
      <c r="B70" s="4">
        <f>_xlfn.XLOOKUP(A70,original_data!B:B,original_data!C:C,0,)</f>
        <v>227</v>
      </c>
      <c r="C70" s="4">
        <f>_xlfn.XLOOKUP($A70,original_data!$B:$B,original_data!D:D,"x",0)</f>
        <v>2</v>
      </c>
      <c r="D70" s="4">
        <f>_xlfn.XLOOKUP($A70,original_data!$B:$B,original_data!E:E,"x",0)</f>
        <v>2013</v>
      </c>
      <c r="E70" s="4">
        <f>_xlfn.XLOOKUP($A70,original_data!$B:$B,original_data!F:F,"x",0)</f>
        <v>2014</v>
      </c>
      <c r="F70" s="4" t="s">
        <v>159</v>
      </c>
      <c r="G70" s="6" t="s">
        <v>237</v>
      </c>
      <c r="H70" s="6"/>
      <c r="I70" s="3" t="s">
        <v>200</v>
      </c>
      <c r="J70" s="4" t="s">
        <v>151</v>
      </c>
    </row>
    <row r="71" spans="1:10" x14ac:dyDescent="0.2">
      <c r="A71" s="9" t="s">
        <v>46</v>
      </c>
      <c r="B71" s="4">
        <f>_xlfn.XLOOKUP(A71,original_data!B:B,original_data!C:C,0,)</f>
        <v>231</v>
      </c>
      <c r="C71" s="4">
        <f>_xlfn.XLOOKUP($A71,original_data!$B:$B,original_data!D:D,"x",0)</f>
        <v>2</v>
      </c>
      <c r="D71" s="4">
        <f>_xlfn.XLOOKUP($A71,original_data!$B:$B,original_data!E:E,"x",0)</f>
        <v>2014</v>
      </c>
      <c r="E71" s="4">
        <f>_xlfn.XLOOKUP($A71,original_data!$B:$B,original_data!F:F,"x",0)</f>
        <v>2015</v>
      </c>
      <c r="F71" s="4" t="s">
        <v>159</v>
      </c>
      <c r="G71" s="6" t="s">
        <v>106</v>
      </c>
      <c r="H71" s="6" t="s">
        <v>194</v>
      </c>
      <c r="I71" s="4"/>
      <c r="J71" s="4"/>
    </row>
    <row r="72" spans="1:10" x14ac:dyDescent="0.2">
      <c r="A72" s="9" t="s">
        <v>65</v>
      </c>
      <c r="B72" s="4">
        <f>_xlfn.XLOOKUP(A72,original_data!B:B,original_data!C:C,0,)</f>
        <v>262</v>
      </c>
      <c r="C72" s="4">
        <f>_xlfn.XLOOKUP($A72,original_data!$B:$B,original_data!D:D,"x",0)</f>
        <v>1</v>
      </c>
      <c r="D72" s="4">
        <f>_xlfn.XLOOKUP($A72,original_data!$B:$B,original_data!E:E,"x",0)</f>
        <v>2018</v>
      </c>
      <c r="E72" s="4">
        <f>_xlfn.XLOOKUP($A72,original_data!$B:$B,original_data!F:F,"x",0)</f>
        <v>2018</v>
      </c>
      <c r="F72" s="4" t="s">
        <v>159</v>
      </c>
      <c r="G72" s="4" t="s">
        <v>127</v>
      </c>
      <c r="H72" s="4" t="s">
        <v>198</v>
      </c>
      <c r="I72" s="4"/>
      <c r="J72" s="4"/>
    </row>
    <row r="73" spans="1:10" x14ac:dyDescent="0.2">
      <c r="A73" s="9" t="s">
        <v>87</v>
      </c>
      <c r="B73" s="4">
        <f>_xlfn.XLOOKUP(A73,original_data!B:B,original_data!C:C,0,)</f>
        <v>266</v>
      </c>
      <c r="C73" s="4">
        <f>_xlfn.XLOOKUP($A73,original_data!$B:$B,original_data!D:D,"x",0)</f>
        <v>3</v>
      </c>
      <c r="D73" s="4">
        <f>_xlfn.XLOOKUP($A73,original_data!$B:$B,original_data!E:E,"x",0)</f>
        <v>2015</v>
      </c>
      <c r="E73" s="4">
        <f>_xlfn.XLOOKUP($A73,original_data!$B:$B,original_data!F:F,"x",0)</f>
        <v>2017</v>
      </c>
      <c r="F73" s="4" t="s">
        <v>159</v>
      </c>
      <c r="G73" s="6" t="s">
        <v>140</v>
      </c>
      <c r="H73" s="6" t="s">
        <v>194</v>
      </c>
      <c r="I73" s="4" t="s">
        <v>123</v>
      </c>
      <c r="J73" s="8" t="s">
        <v>125</v>
      </c>
    </row>
    <row r="74" spans="1:10" x14ac:dyDescent="0.2">
      <c r="A74" s="16" t="s">
        <v>20</v>
      </c>
      <c r="B74" s="4">
        <f>_xlfn.XLOOKUP(A74,original_data!B:B,original_data!C:C,0,)</f>
        <v>273</v>
      </c>
      <c r="C74" s="4">
        <f>_xlfn.XLOOKUP($A74,original_data!$B:$B,original_data!D:D,"x",0)</f>
        <v>2</v>
      </c>
      <c r="D74" s="4">
        <f>_xlfn.XLOOKUP($A74,original_data!$B:$B,original_data!E:E,"x",0)</f>
        <v>2014</v>
      </c>
      <c r="E74" s="4">
        <f>_xlfn.XLOOKUP($A74,original_data!$B:$B,original_data!F:F,"x",0)</f>
        <v>2015</v>
      </c>
      <c r="F74" s="4" t="s">
        <v>202</v>
      </c>
      <c r="G74" s="6" t="s">
        <v>219</v>
      </c>
      <c r="H74" s="6" t="s">
        <v>203</v>
      </c>
      <c r="I74" s="4" t="s">
        <v>112</v>
      </c>
      <c r="J74" s="4"/>
    </row>
    <row r="75" spans="1:10" x14ac:dyDescent="0.2">
      <c r="A75" s="12" t="s">
        <v>1</v>
      </c>
      <c r="B75" s="4">
        <f>_xlfn.XLOOKUP(A75,original_data!B:B,original_data!C:C,0,)</f>
        <v>284</v>
      </c>
      <c r="C75" s="4">
        <f>_xlfn.XLOOKUP($A75,original_data!$B:$B,original_data!D:D,"x",0)</f>
        <v>1</v>
      </c>
      <c r="D75" s="4">
        <f>_xlfn.XLOOKUP($A75,original_data!$B:$B,original_data!E:E,"x",0)</f>
        <v>2018</v>
      </c>
      <c r="E75" s="4">
        <f>_xlfn.XLOOKUP($A75,original_data!$B:$B,original_data!F:F,"x",0)</f>
        <v>2018</v>
      </c>
      <c r="F75" s="4" t="s">
        <v>158</v>
      </c>
      <c r="G75" s="4" t="s">
        <v>102</v>
      </c>
      <c r="H75" s="4" t="s">
        <v>205</v>
      </c>
      <c r="I75" s="4" t="s">
        <v>117</v>
      </c>
      <c r="J75" s="4"/>
    </row>
    <row r="76" spans="1:10" x14ac:dyDescent="0.2">
      <c r="A76" s="12" t="s">
        <v>75</v>
      </c>
      <c r="B76" s="4">
        <f>_xlfn.XLOOKUP(A76,original_data!B:B,original_data!C:C,0,)</f>
        <v>284</v>
      </c>
      <c r="C76" s="4">
        <f>_xlfn.XLOOKUP($A76,original_data!$B:$B,original_data!D:D,"x",0)</f>
        <v>1</v>
      </c>
      <c r="D76" s="4">
        <f>_xlfn.XLOOKUP($A76,original_data!$B:$B,original_data!E:E,"x",0)</f>
        <v>2018</v>
      </c>
      <c r="E76" s="4">
        <f>_xlfn.XLOOKUP($A76,original_data!$B:$B,original_data!F:F,"x",0)</f>
        <v>2018</v>
      </c>
      <c r="F76" s="4" t="s">
        <v>158</v>
      </c>
      <c r="G76" s="4" t="s">
        <v>102</v>
      </c>
      <c r="H76" s="4" t="s">
        <v>178</v>
      </c>
      <c r="I76" s="4" t="s">
        <v>191</v>
      </c>
      <c r="J76" s="4"/>
    </row>
    <row r="77" spans="1:10" x14ac:dyDescent="0.2">
      <c r="A77" s="12" t="s">
        <v>76</v>
      </c>
      <c r="B77" s="4">
        <f>_xlfn.XLOOKUP(A77,original_data!B:B,original_data!C:C,0,)</f>
        <v>284</v>
      </c>
      <c r="C77" s="4">
        <f>_xlfn.XLOOKUP($A77,original_data!$B:$B,original_data!D:D,"x",0)</f>
        <v>1</v>
      </c>
      <c r="D77" s="4">
        <f>_xlfn.XLOOKUP($A77,original_data!$B:$B,original_data!E:E,"x",0)</f>
        <v>2018</v>
      </c>
      <c r="E77" s="4">
        <f>_xlfn.XLOOKUP($A77,original_data!$B:$B,original_data!F:F,"x",0)</f>
        <v>2018</v>
      </c>
      <c r="F77" s="4" t="s">
        <v>159</v>
      </c>
      <c r="G77" s="4" t="s">
        <v>217</v>
      </c>
      <c r="H77" s="4" t="s">
        <v>218</v>
      </c>
      <c r="I77" s="4"/>
      <c r="J77" s="4"/>
    </row>
    <row r="78" spans="1:10" x14ac:dyDescent="0.2">
      <c r="A78" s="9" t="s">
        <v>89</v>
      </c>
      <c r="B78" s="4">
        <f>_xlfn.XLOOKUP(A78,original_data!B:B,original_data!C:C,0,)</f>
        <v>285</v>
      </c>
      <c r="C78" s="4">
        <f>_xlfn.XLOOKUP($A78,original_data!$B:$B,original_data!D:D,"x",0)</f>
        <v>2</v>
      </c>
      <c r="D78" s="4">
        <f>_xlfn.XLOOKUP($A78,original_data!$B:$B,original_data!E:E,"x",0)</f>
        <v>2016</v>
      </c>
      <c r="E78" s="4">
        <f>_xlfn.XLOOKUP($A78,original_data!$B:$B,original_data!F:F,"x",0)</f>
        <v>2018</v>
      </c>
      <c r="F78" s="4" t="s">
        <v>159</v>
      </c>
      <c r="G78" s="4" t="s">
        <v>89</v>
      </c>
      <c r="H78" s="4" t="s">
        <v>198</v>
      </c>
      <c r="I78" s="4"/>
      <c r="J78" s="4"/>
    </row>
    <row r="79" spans="1:10" x14ac:dyDescent="0.2">
      <c r="A79" s="9" t="s">
        <v>25</v>
      </c>
      <c r="B79" s="4">
        <f>_xlfn.XLOOKUP(A79,original_data!B:B,original_data!C:C,0,)</f>
        <v>293</v>
      </c>
      <c r="C79" s="4">
        <f>_xlfn.XLOOKUP($A79,original_data!$B:$B,original_data!D:D,"x",0)</f>
        <v>8</v>
      </c>
      <c r="D79" s="4">
        <f>_xlfn.XLOOKUP($A79,original_data!$B:$B,original_data!E:E,"x",0)</f>
        <v>2013</v>
      </c>
      <c r="E79" s="4">
        <f>_xlfn.XLOOKUP($A79,original_data!$B:$B,original_data!F:F,"x",0)</f>
        <v>2020</v>
      </c>
      <c r="F79" s="4" t="s">
        <v>159</v>
      </c>
      <c r="G79" s="4" t="s">
        <v>97</v>
      </c>
      <c r="H79" s="4" t="s">
        <v>197</v>
      </c>
      <c r="I79" s="4"/>
      <c r="J79" s="4"/>
    </row>
    <row r="80" spans="1:10" x14ac:dyDescent="0.2">
      <c r="A80" s="16" t="s">
        <v>21</v>
      </c>
      <c r="B80" s="4">
        <f>_xlfn.XLOOKUP(A80,original_data!B:B,original_data!C:C,0,)</f>
        <v>327</v>
      </c>
      <c r="C80" s="4">
        <f>_xlfn.XLOOKUP($A80,original_data!$B:$B,original_data!D:D,"x",0)</f>
        <v>2</v>
      </c>
      <c r="D80" s="4">
        <f>_xlfn.XLOOKUP($A80,original_data!$B:$B,original_data!E:E,"x",0)</f>
        <v>2015</v>
      </c>
      <c r="E80" s="4">
        <f>_xlfn.XLOOKUP($A80,original_data!$B:$B,original_data!F:F,"x",0)</f>
        <v>2016</v>
      </c>
      <c r="F80" s="4" t="s">
        <v>202</v>
      </c>
      <c r="G80" s="6" t="s">
        <v>216</v>
      </c>
      <c r="H80" s="4"/>
      <c r="I80" s="4" t="s">
        <v>113</v>
      </c>
      <c r="J80" s="4"/>
    </row>
    <row r="81" spans="1:10" x14ac:dyDescent="0.2">
      <c r="A81" s="13" t="s">
        <v>12</v>
      </c>
      <c r="B81" s="4">
        <f>_xlfn.XLOOKUP(A81,original_data!B:B,original_data!C:C,0,)</f>
        <v>345</v>
      </c>
      <c r="C81" s="4">
        <f>_xlfn.XLOOKUP($A81,original_data!$B:$B,original_data!D:D,"x",0)</f>
        <v>3</v>
      </c>
      <c r="D81" s="4">
        <f>_xlfn.XLOOKUP($A81,original_data!$B:$B,original_data!E:E,"x",0)</f>
        <v>2014</v>
      </c>
      <c r="E81" s="4">
        <f>_xlfn.XLOOKUP($A81,original_data!$B:$B,original_data!F:F,"x",0)</f>
        <v>2016</v>
      </c>
      <c r="F81" s="4" t="s">
        <v>185</v>
      </c>
      <c r="G81" s="4" t="s">
        <v>12</v>
      </c>
      <c r="H81" s="4"/>
      <c r="I81" s="4" t="s">
        <v>149</v>
      </c>
      <c r="J81" s="4"/>
    </row>
    <row r="82" spans="1:10" x14ac:dyDescent="0.2">
      <c r="A82" s="13" t="s">
        <v>49</v>
      </c>
      <c r="B82" s="4">
        <f>_xlfn.XLOOKUP(A82,original_data!B:B,original_data!C:C,0,)</f>
        <v>432</v>
      </c>
      <c r="C82" s="4">
        <f>_xlfn.XLOOKUP($A82,original_data!$B:$B,original_data!D:D,"x",0)</f>
        <v>1</v>
      </c>
      <c r="D82" s="4">
        <f>_xlfn.XLOOKUP($A82,original_data!$B:$B,original_data!E:E,"x",0)</f>
        <v>2014</v>
      </c>
      <c r="E82" s="4">
        <f>_xlfn.XLOOKUP($A82,original_data!$B:$B,original_data!F:F,"x",0)</f>
        <v>2014</v>
      </c>
      <c r="F82" s="4" t="s">
        <v>185</v>
      </c>
      <c r="G82" s="4" t="s">
        <v>49</v>
      </c>
      <c r="H82" s="4" t="s">
        <v>193</v>
      </c>
      <c r="I82" s="4" t="s">
        <v>119</v>
      </c>
      <c r="J82" s="4"/>
    </row>
    <row r="83" spans="1:10" x14ac:dyDescent="0.2">
      <c r="A83" s="9" t="s">
        <v>61</v>
      </c>
      <c r="B83" s="4">
        <f>_xlfn.XLOOKUP(A83,original_data!B:B,original_data!C:C,0,)</f>
        <v>446</v>
      </c>
      <c r="C83" s="4">
        <f>_xlfn.XLOOKUP($A83,original_data!$B:$B,original_data!D:D,"x",0)</f>
        <v>2</v>
      </c>
      <c r="D83" s="4">
        <f>_xlfn.XLOOKUP($A83,original_data!$B:$B,original_data!E:E,"x",0)</f>
        <v>2013</v>
      </c>
      <c r="E83" s="4">
        <f>_xlfn.XLOOKUP($A83,original_data!$B:$B,original_data!F:F,"x",0)</f>
        <v>2014</v>
      </c>
      <c r="F83" s="4" t="s">
        <v>158</v>
      </c>
      <c r="G83" s="4" t="s">
        <v>104</v>
      </c>
      <c r="H83" s="4"/>
      <c r="I83" s="4" t="s">
        <v>184</v>
      </c>
      <c r="J83" s="4"/>
    </row>
    <row r="84" spans="1:10" x14ac:dyDescent="0.2">
      <c r="A84" s="9" t="s">
        <v>44</v>
      </c>
      <c r="B84" s="4">
        <f>_xlfn.XLOOKUP(A84,original_data!B:B,original_data!C:C,0,)</f>
        <v>452</v>
      </c>
      <c r="C84" s="4">
        <f>_xlfn.XLOOKUP($A84,original_data!$B:$B,original_data!D:D,"x",0)</f>
        <v>4</v>
      </c>
      <c r="D84" s="4">
        <f>_xlfn.XLOOKUP($A84,original_data!$B:$B,original_data!E:E,"x",0)</f>
        <v>2015</v>
      </c>
      <c r="E84" s="4">
        <f>_xlfn.XLOOKUP($A84,original_data!$B:$B,original_data!F:F,"x",0)</f>
        <v>2018</v>
      </c>
      <c r="F84" s="4" t="s">
        <v>159</v>
      </c>
      <c r="G84" s="6" t="s">
        <v>44</v>
      </c>
      <c r="H84" s="6" t="s">
        <v>194</v>
      </c>
      <c r="I84" s="4"/>
      <c r="J84" s="4"/>
    </row>
    <row r="85" spans="1:10" x14ac:dyDescent="0.2">
      <c r="A85" s="9" t="s">
        <v>35</v>
      </c>
      <c r="B85" s="4">
        <f>_xlfn.XLOOKUP(A85,original_data!B:B,original_data!C:C,0,)</f>
        <v>500</v>
      </c>
      <c r="C85" s="4">
        <f>_xlfn.XLOOKUP($A85,original_data!$B:$B,original_data!D:D,"x",0)</f>
        <v>2</v>
      </c>
      <c r="D85" s="4">
        <f>_xlfn.XLOOKUP($A85,original_data!$B:$B,original_data!E:E,"x",0)</f>
        <v>2016</v>
      </c>
      <c r="E85" s="4">
        <f>_xlfn.XLOOKUP($A85,original_data!$B:$B,original_data!F:F,"x",0)</f>
        <v>2017</v>
      </c>
      <c r="F85" s="4" t="s">
        <v>158</v>
      </c>
      <c r="G85" s="4" t="s">
        <v>102</v>
      </c>
      <c r="H85" s="4" t="s">
        <v>199</v>
      </c>
      <c r="I85" s="4" t="s">
        <v>115</v>
      </c>
      <c r="J85" s="4"/>
    </row>
    <row r="86" spans="1:10" x14ac:dyDescent="0.2">
      <c r="A86" s="9" t="s">
        <v>60</v>
      </c>
      <c r="B86" s="4">
        <f>_xlfn.XLOOKUP(A86,original_data!B:B,original_data!C:C,0,)</f>
        <v>524</v>
      </c>
      <c r="C86" s="4">
        <f>_xlfn.XLOOKUP($A86,original_data!$B:$B,original_data!D:D,"x",0)</f>
        <v>5</v>
      </c>
      <c r="D86" s="4">
        <f>_xlfn.XLOOKUP($A86,original_data!$B:$B,original_data!E:E,"x",0)</f>
        <v>2014</v>
      </c>
      <c r="E86" s="4">
        <f>_xlfn.XLOOKUP($A86,original_data!$B:$B,original_data!F:F,"x",0)</f>
        <v>2018</v>
      </c>
      <c r="F86" s="4" t="s">
        <v>159</v>
      </c>
      <c r="G86" s="4" t="s">
        <v>104</v>
      </c>
      <c r="H86" s="4" t="s">
        <v>194</v>
      </c>
      <c r="I86" s="4"/>
      <c r="J86" s="4"/>
    </row>
    <row r="87" spans="1:10" x14ac:dyDescent="0.2">
      <c r="A87" s="9" t="s">
        <v>37</v>
      </c>
      <c r="B87" s="4">
        <f>_xlfn.XLOOKUP(A87,original_data!B:B,original_data!C:C,0,)</f>
        <v>715</v>
      </c>
      <c r="C87" s="4">
        <f>_xlfn.XLOOKUP($A87,original_data!$B:$B,original_data!D:D,"x",0)</f>
        <v>6</v>
      </c>
      <c r="D87" s="4">
        <f>_xlfn.XLOOKUP($A87,original_data!$B:$B,original_data!E:E,"x",0)</f>
        <v>2017</v>
      </c>
      <c r="E87" s="4">
        <f>_xlfn.XLOOKUP($A87,original_data!$B:$B,original_data!F:F,"x",0)</f>
        <v>2023</v>
      </c>
      <c r="F87" s="4" t="s">
        <v>159</v>
      </c>
      <c r="G87" s="4" t="s">
        <v>109</v>
      </c>
      <c r="H87" s="4" t="s">
        <v>194</v>
      </c>
      <c r="I87" s="4"/>
      <c r="J87" s="4"/>
    </row>
    <row r="88" spans="1:10" x14ac:dyDescent="0.2">
      <c r="A88" s="9" t="s">
        <v>3</v>
      </c>
      <c r="B88" s="4">
        <f>_xlfn.XLOOKUP(A88,original_data!B:B,original_data!C:C,0,)</f>
        <v>930</v>
      </c>
      <c r="C88" s="4">
        <f>_xlfn.XLOOKUP($A88,original_data!$B:$B,original_data!D:D,"x",0)</f>
        <v>5</v>
      </c>
      <c r="D88" s="4">
        <f>_xlfn.XLOOKUP($A88,original_data!$B:$B,original_data!E:E,"x",0)</f>
        <v>2013</v>
      </c>
      <c r="E88" s="4">
        <f>_xlfn.XLOOKUP($A88,original_data!$B:$B,original_data!F:F,"x",0)</f>
        <v>2018</v>
      </c>
      <c r="F88" s="4" t="s">
        <v>159</v>
      </c>
      <c r="G88" s="6" t="s">
        <v>3</v>
      </c>
      <c r="H88" s="6" t="s">
        <v>194</v>
      </c>
      <c r="I88" s="4"/>
      <c r="J88" s="4"/>
    </row>
    <row r="89" spans="1:10" x14ac:dyDescent="0.2">
      <c r="A89" s="9" t="s">
        <v>57</v>
      </c>
      <c r="B89" s="4">
        <f>_xlfn.XLOOKUP(A89,original_data!B:B,original_data!C:C,0,)</f>
        <v>964</v>
      </c>
      <c r="C89" s="4">
        <f>_xlfn.XLOOKUP($A89,original_data!$B:$B,original_data!D:D,"x",0)</f>
        <v>5</v>
      </c>
      <c r="D89" s="4">
        <f>_xlfn.XLOOKUP($A89,original_data!$B:$B,original_data!E:E,"x",0)</f>
        <v>2011</v>
      </c>
      <c r="E89" s="4">
        <f>_xlfn.XLOOKUP($A89,original_data!$B:$B,original_data!F:F,"x",0)</f>
        <v>2015</v>
      </c>
      <c r="F89" s="4" t="s">
        <v>158</v>
      </c>
      <c r="G89" s="6" t="s">
        <v>111</v>
      </c>
      <c r="H89" s="6" t="s">
        <v>194</v>
      </c>
      <c r="I89" s="4" t="s">
        <v>175</v>
      </c>
      <c r="J89" s="4"/>
    </row>
    <row r="90" spans="1:10" x14ac:dyDescent="0.2">
      <c r="A90" s="9" t="s">
        <v>59</v>
      </c>
      <c r="B90" s="4">
        <f>_xlfn.XLOOKUP(A90,original_data!B:B,original_data!C:C,0,)</f>
        <v>1060</v>
      </c>
      <c r="C90" s="4">
        <f>_xlfn.XLOOKUP($A90,original_data!$B:$B,original_data!D:D,"x",0)</f>
        <v>6</v>
      </c>
      <c r="D90" s="4">
        <f>_xlfn.XLOOKUP($A90,original_data!$B:$B,original_data!E:E,"x",0)</f>
        <v>2018</v>
      </c>
      <c r="E90" s="4">
        <f>_xlfn.XLOOKUP($A90,original_data!$B:$B,original_data!F:F,"x",0)</f>
        <v>2023</v>
      </c>
      <c r="F90" s="4" t="s">
        <v>158</v>
      </c>
      <c r="G90" s="4" t="s">
        <v>102</v>
      </c>
      <c r="H90" s="4" t="s">
        <v>196</v>
      </c>
      <c r="I90" s="4"/>
      <c r="J90" s="4"/>
    </row>
    <row r="91" spans="1:10" x14ac:dyDescent="0.2">
      <c r="A91" s="16" t="s">
        <v>39</v>
      </c>
      <c r="B91" s="4">
        <f>_xlfn.XLOOKUP(A91,original_data!B:B,original_data!C:C,0,)</f>
        <v>1228</v>
      </c>
      <c r="C91" s="4">
        <f>_xlfn.XLOOKUP($A91,original_data!$B:$B,original_data!D:D,"x",0)</f>
        <v>2</v>
      </c>
      <c r="D91" s="4">
        <f>_xlfn.XLOOKUP($A91,original_data!$B:$B,original_data!E:E,"x",0)</f>
        <v>2013</v>
      </c>
      <c r="E91" s="4">
        <f>_xlfn.XLOOKUP($A91,original_data!$B:$B,original_data!F:F,"x",0)</f>
        <v>2014</v>
      </c>
      <c r="F91" s="4" t="s">
        <v>202</v>
      </c>
      <c r="G91" s="6" t="s">
        <v>215</v>
      </c>
      <c r="H91" s="4"/>
      <c r="I91" s="4"/>
      <c r="J91" s="4"/>
    </row>
    <row r="92" spans="1:10" x14ac:dyDescent="0.2">
      <c r="A92" s="9" t="s">
        <v>41</v>
      </c>
      <c r="B92" s="4">
        <f>_xlfn.XLOOKUP(A92,original_data!B:B,original_data!C:C,0,)</f>
        <v>1516</v>
      </c>
      <c r="C92" s="4">
        <f>_xlfn.XLOOKUP($A92,original_data!$B:$B,original_data!D:D,"x",0)</f>
        <v>7</v>
      </c>
      <c r="D92" s="4">
        <f>_xlfn.XLOOKUP($A92,original_data!$B:$B,original_data!E:E,"x",0)</f>
        <v>2012</v>
      </c>
      <c r="E92" s="4">
        <f>_xlfn.XLOOKUP($A92,original_data!$B:$B,original_data!F:F,"x",0)</f>
        <v>2018</v>
      </c>
      <c r="F92" s="4" t="s">
        <v>158</v>
      </c>
      <c r="G92" s="4" t="s">
        <v>109</v>
      </c>
      <c r="H92" s="4" t="s">
        <v>194</v>
      </c>
      <c r="I92" s="4" t="s">
        <v>177</v>
      </c>
      <c r="J92" s="4"/>
    </row>
    <row r="93" spans="1:10" x14ac:dyDescent="0.2">
      <c r="A93" s="5" t="s">
        <v>14</v>
      </c>
      <c r="B93" s="4">
        <f>_xlfn.XLOOKUP(A93,original_data!B:B,original_data!C:C,0,)</f>
        <v>3933</v>
      </c>
      <c r="C93" s="4">
        <f>_xlfn.XLOOKUP($A93,original_data!$B:$B,original_data!D:D,"x",0)</f>
        <v>13</v>
      </c>
      <c r="D93" s="4">
        <f>_xlfn.XLOOKUP($A93,original_data!$B:$B,original_data!E:E,"x",0)</f>
        <v>2011</v>
      </c>
      <c r="E93" s="4">
        <f>_xlfn.XLOOKUP($A93,original_data!$B:$B,original_data!F:F,"x",0)</f>
        <v>2023</v>
      </c>
      <c r="F93" s="4"/>
      <c r="G93" s="4" t="s">
        <v>14</v>
      </c>
      <c r="H93" s="4"/>
      <c r="I93" s="4"/>
      <c r="J93" s="4"/>
    </row>
    <row r="94" spans="1:10" x14ac:dyDescent="0.2">
      <c r="A94" s="9" t="s">
        <v>58</v>
      </c>
      <c r="B94" s="4">
        <f>_xlfn.XLOOKUP(A94,original_data!B:B,original_data!C:C,0,)</f>
        <v>5231</v>
      </c>
      <c r="C94" s="4">
        <f>_xlfn.XLOOKUP($A94,original_data!$B:$B,original_data!D:D,"x",0)</f>
        <v>9</v>
      </c>
      <c r="D94" s="4">
        <f>_xlfn.XLOOKUP($A94,original_data!$B:$B,original_data!E:E,"x",0)</f>
        <v>2015</v>
      </c>
      <c r="E94" s="4">
        <f>_xlfn.XLOOKUP($A94,original_data!$B:$B,original_data!F:F,"x",0)</f>
        <v>2023</v>
      </c>
      <c r="F94" s="4" t="s">
        <v>159</v>
      </c>
      <c r="G94" s="4" t="s">
        <v>108</v>
      </c>
      <c r="H94" s="4" t="s">
        <v>194</v>
      </c>
      <c r="I94" s="4"/>
      <c r="J94" s="4"/>
    </row>
    <row r="95" spans="1:10" x14ac:dyDescent="0.2">
      <c r="A95" s="9" t="s">
        <v>38</v>
      </c>
      <c r="B95" s="4">
        <f>_xlfn.XLOOKUP(A95,original_data!B:B,original_data!C:C,0,)</f>
        <v>16131</v>
      </c>
      <c r="C95" s="4">
        <f>_xlfn.XLOOKUP($A95,original_data!$B:$B,original_data!D:D,"x",0)</f>
        <v>11</v>
      </c>
      <c r="D95" s="4">
        <f>_xlfn.XLOOKUP($A95,original_data!$B:$B,original_data!E:E,"x",0)</f>
        <v>2013</v>
      </c>
      <c r="E95" s="4">
        <f>_xlfn.XLOOKUP($A95,original_data!$B:$B,original_data!F:F,"x",0)</f>
        <v>2023</v>
      </c>
      <c r="F95" s="4" t="s">
        <v>159</v>
      </c>
      <c r="G95" s="6" t="s">
        <v>107</v>
      </c>
      <c r="H95" s="6" t="s">
        <v>194</v>
      </c>
      <c r="I95" s="4"/>
      <c r="J95" s="4"/>
    </row>
    <row r="96" spans="1:10" x14ac:dyDescent="0.2">
      <c r="A96" s="5" t="s">
        <v>64</v>
      </c>
      <c r="B96" s="4">
        <f>_xlfn.XLOOKUP(A96,original_data!B:B,original_data!C:C,0,)</f>
        <v>65248</v>
      </c>
      <c r="C96" s="4">
        <f>_xlfn.XLOOKUP($A96,original_data!$B:$B,original_data!D:D,"x",0)</f>
        <v>13</v>
      </c>
      <c r="D96" s="4">
        <f>_xlfn.XLOOKUP($A96,original_data!$B:$B,original_data!E:E,"x",0)</f>
        <v>2011</v>
      </c>
      <c r="E96" s="4">
        <f>_xlfn.XLOOKUP($A96,original_data!$B:$B,original_data!F:F,"x",0)</f>
        <v>2023</v>
      </c>
      <c r="F96" s="4"/>
      <c r="G96" s="4" t="s">
        <v>236</v>
      </c>
      <c r="H96" s="4" t="s">
        <v>224</v>
      </c>
      <c r="I96" s="4" t="s">
        <v>174</v>
      </c>
      <c r="J96" s="4"/>
    </row>
    <row r="97" spans="1:10" x14ac:dyDescent="0.2">
      <c r="A97" s="9" t="s">
        <v>29</v>
      </c>
      <c r="B97" s="4">
        <f>_xlfn.XLOOKUP(A97,original_data!B:B,original_data!C:C,0,)</f>
        <v>73586</v>
      </c>
      <c r="C97" s="4">
        <f>_xlfn.XLOOKUP($A97,original_data!$B:$B,original_data!D:D,"x",0)</f>
        <v>13</v>
      </c>
      <c r="D97" s="4">
        <f>_xlfn.XLOOKUP($A97,original_data!$B:$B,original_data!E:E,"x",0)</f>
        <v>2011</v>
      </c>
      <c r="E97" s="4">
        <f>_xlfn.XLOOKUP($A97,original_data!$B:$B,original_data!F:F,"x",0)</f>
        <v>2023</v>
      </c>
      <c r="F97" s="4" t="s">
        <v>159</v>
      </c>
      <c r="G97" s="4" t="s">
        <v>99</v>
      </c>
      <c r="H97" s="4"/>
      <c r="I97" s="4"/>
      <c r="J97" s="4"/>
    </row>
    <row r="98" spans="1:10" x14ac:dyDescent="0.2">
      <c r="A98" s="5" t="s">
        <v>231</v>
      </c>
      <c r="B98" s="4">
        <f>_xlfn.XLOOKUP(A98,original_data!B:B,original_data!C:C,0,)</f>
        <v>0</v>
      </c>
      <c r="C98" s="4" t="str">
        <f>_xlfn.XLOOKUP($A98,original_data!$B:$B,original_data!D:D,"x",0)</f>
        <v>x</v>
      </c>
      <c r="D98" s="4" t="str">
        <f>_xlfn.XLOOKUP($A98,original_data!$B:$B,original_data!E:E,"x",0)</f>
        <v>x</v>
      </c>
      <c r="E98" s="4" t="str">
        <f>_xlfn.XLOOKUP($A98,original_data!$B:$B,original_data!F:F,"x",0)</f>
        <v>x</v>
      </c>
      <c r="F98" s="4" t="s">
        <v>160</v>
      </c>
      <c r="G98" s="4" t="s">
        <v>110</v>
      </c>
      <c r="H98" s="4" t="s">
        <v>233</v>
      </c>
      <c r="I98" s="4"/>
      <c r="J98" s="4"/>
    </row>
  </sheetData>
  <sortState xmlns:xlrd2="http://schemas.microsoft.com/office/spreadsheetml/2017/richdata2" ref="A2:J98">
    <sortCondition ref="B2:B98"/>
  </sortState>
  <phoneticPr fontId="9" type="noConversion"/>
  <hyperlinks>
    <hyperlink ref="J73" r:id="rId1" xr:uid="{82E1B7D7-DB49-484B-9E41-8D562362982B}"/>
    <hyperlink ref="I67" r:id="rId2" location="2020:_Resurgence" xr:uid="{DAABFE0F-625E-3C47-AE2B-C8572A7A25F6}"/>
    <hyperlink ref="I35" r:id="rId3" xr:uid="{52477696-6919-0F40-9D52-E3D747D38BF9}"/>
    <hyperlink ref="I66" r:id="rId4" xr:uid="{67D53EF1-17DB-954B-AEF7-094A52D17460}"/>
  </hyperlinks>
  <pageMargins left="0.7" right="0.7" top="0.75" bottom="0.75" header="0.3" footer="0.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1E27D-71E8-9742-A6C2-8DD7B21AB8D2}">
  <dimension ref="A1:F97"/>
  <sheetViews>
    <sheetView workbookViewId="0">
      <selection activeCell="B10" sqref="B10"/>
    </sheetView>
  </sheetViews>
  <sheetFormatPr baseColWidth="10" defaultRowHeight="16" x14ac:dyDescent="0.2"/>
  <cols>
    <col min="2" max="2" width="23.6640625" customWidth="1"/>
  </cols>
  <sheetData>
    <row r="1" spans="1:6" x14ac:dyDescent="0.2">
      <c r="A1" t="s">
        <v>155</v>
      </c>
      <c r="B1" t="s">
        <v>156</v>
      </c>
      <c r="C1" t="s">
        <v>157</v>
      </c>
      <c r="D1" t="s">
        <v>161</v>
      </c>
      <c r="E1" t="s">
        <v>162</v>
      </c>
      <c r="F1" t="s">
        <v>163</v>
      </c>
    </row>
    <row r="2" spans="1:6" x14ac:dyDescent="0.2">
      <c r="A2">
        <v>1</v>
      </c>
      <c r="B2" t="s">
        <v>0</v>
      </c>
      <c r="C2">
        <v>1</v>
      </c>
      <c r="D2">
        <v>1</v>
      </c>
      <c r="E2">
        <v>2014</v>
      </c>
      <c r="F2">
        <v>2014</v>
      </c>
    </row>
    <row r="3" spans="1:6" x14ac:dyDescent="0.2">
      <c r="A3">
        <v>2</v>
      </c>
      <c r="B3" t="s">
        <v>1</v>
      </c>
      <c r="C3">
        <v>284</v>
      </c>
      <c r="D3">
        <v>1</v>
      </c>
      <c r="E3">
        <v>2018</v>
      </c>
      <c r="F3">
        <v>2018</v>
      </c>
    </row>
    <row r="4" spans="1:6" x14ac:dyDescent="0.2">
      <c r="A4">
        <v>3</v>
      </c>
      <c r="B4" t="s">
        <v>2</v>
      </c>
      <c r="C4">
        <v>42</v>
      </c>
      <c r="D4">
        <v>1</v>
      </c>
      <c r="E4">
        <v>2013</v>
      </c>
      <c r="F4">
        <v>2013</v>
      </c>
    </row>
    <row r="5" spans="1:6" x14ac:dyDescent="0.2">
      <c r="A5">
        <v>4</v>
      </c>
      <c r="B5" t="s">
        <v>5</v>
      </c>
      <c r="C5">
        <v>9</v>
      </c>
      <c r="D5">
        <v>1</v>
      </c>
      <c r="E5">
        <v>2014</v>
      </c>
      <c r="F5">
        <v>2014</v>
      </c>
    </row>
    <row r="6" spans="1:6" x14ac:dyDescent="0.2">
      <c r="A6">
        <v>5</v>
      </c>
      <c r="B6" t="s">
        <v>3</v>
      </c>
      <c r="C6">
        <v>930</v>
      </c>
      <c r="D6">
        <v>5</v>
      </c>
      <c r="E6">
        <v>2013</v>
      </c>
      <c r="F6">
        <v>2018</v>
      </c>
    </row>
    <row r="7" spans="1:6" x14ac:dyDescent="0.2">
      <c r="A7">
        <v>6</v>
      </c>
      <c r="B7" t="s">
        <v>4</v>
      </c>
      <c r="C7">
        <v>4</v>
      </c>
      <c r="D7">
        <v>1</v>
      </c>
      <c r="E7">
        <v>2020</v>
      </c>
      <c r="F7">
        <v>2020</v>
      </c>
    </row>
    <row r="8" spans="1:6" x14ac:dyDescent="0.2">
      <c r="A8">
        <v>7</v>
      </c>
      <c r="B8" t="s">
        <v>6</v>
      </c>
      <c r="C8">
        <v>155</v>
      </c>
      <c r="D8">
        <v>4</v>
      </c>
      <c r="E8">
        <v>2015</v>
      </c>
      <c r="F8">
        <v>2018</v>
      </c>
    </row>
    <row r="9" spans="1:6" x14ac:dyDescent="0.2">
      <c r="A9">
        <v>8</v>
      </c>
      <c r="B9" t="s">
        <v>235</v>
      </c>
      <c r="C9">
        <v>136</v>
      </c>
      <c r="D9">
        <v>1</v>
      </c>
      <c r="E9">
        <v>2014</v>
      </c>
      <c r="F9">
        <v>2014</v>
      </c>
    </row>
    <row r="10" spans="1:6" x14ac:dyDescent="0.2">
      <c r="A10">
        <v>9</v>
      </c>
      <c r="B10" t="s">
        <v>11</v>
      </c>
      <c r="C10">
        <v>147</v>
      </c>
      <c r="D10">
        <v>1</v>
      </c>
      <c r="E10">
        <v>2014</v>
      </c>
      <c r="F10">
        <v>2014</v>
      </c>
    </row>
    <row r="11" spans="1:6" x14ac:dyDescent="0.2">
      <c r="A11">
        <v>10</v>
      </c>
      <c r="B11" t="s">
        <v>69</v>
      </c>
      <c r="C11">
        <v>136</v>
      </c>
      <c r="D11">
        <v>1</v>
      </c>
      <c r="E11">
        <v>2014</v>
      </c>
      <c r="F11">
        <v>2014</v>
      </c>
    </row>
    <row r="12" spans="1:6" x14ac:dyDescent="0.2">
      <c r="A12">
        <v>11</v>
      </c>
      <c r="B12" t="s">
        <v>12</v>
      </c>
      <c r="C12">
        <v>345</v>
      </c>
      <c r="D12">
        <v>3</v>
      </c>
      <c r="E12">
        <v>2014</v>
      </c>
      <c r="F12">
        <v>2016</v>
      </c>
    </row>
    <row r="13" spans="1:6" x14ac:dyDescent="0.2">
      <c r="A13">
        <v>12</v>
      </c>
      <c r="B13" t="s">
        <v>234</v>
      </c>
      <c r="C13">
        <v>136</v>
      </c>
      <c r="D13">
        <v>1</v>
      </c>
      <c r="E13">
        <v>2014</v>
      </c>
      <c r="F13">
        <v>2014</v>
      </c>
    </row>
    <row r="14" spans="1:6" x14ac:dyDescent="0.2">
      <c r="A14">
        <v>13</v>
      </c>
      <c r="B14" t="s">
        <v>13</v>
      </c>
      <c r="C14">
        <v>76</v>
      </c>
      <c r="D14">
        <v>1</v>
      </c>
      <c r="E14">
        <v>2014</v>
      </c>
      <c r="F14">
        <v>2014</v>
      </c>
    </row>
    <row r="15" spans="1:6" x14ac:dyDescent="0.2">
      <c r="A15">
        <v>14</v>
      </c>
      <c r="B15" t="s">
        <v>14</v>
      </c>
      <c r="C15">
        <v>3933</v>
      </c>
      <c r="D15">
        <v>13</v>
      </c>
      <c r="E15">
        <v>2011</v>
      </c>
      <c r="F15">
        <v>2023</v>
      </c>
    </row>
    <row r="16" spans="1:6" x14ac:dyDescent="0.2">
      <c r="A16">
        <v>15</v>
      </c>
      <c r="B16" t="s">
        <v>15</v>
      </c>
      <c r="C16">
        <v>165</v>
      </c>
      <c r="D16">
        <v>2</v>
      </c>
      <c r="E16">
        <v>2013</v>
      </c>
      <c r="F16">
        <v>2014</v>
      </c>
    </row>
    <row r="17" spans="1:6" x14ac:dyDescent="0.2">
      <c r="A17">
        <v>16</v>
      </c>
      <c r="B17" t="s">
        <v>16</v>
      </c>
      <c r="C17">
        <v>21</v>
      </c>
      <c r="D17">
        <v>1</v>
      </c>
      <c r="E17">
        <v>2023</v>
      </c>
      <c r="F17">
        <v>2023</v>
      </c>
    </row>
    <row r="18" spans="1:6" x14ac:dyDescent="0.2">
      <c r="A18">
        <v>17</v>
      </c>
      <c r="B18" t="s">
        <v>17</v>
      </c>
      <c r="C18">
        <v>9</v>
      </c>
      <c r="D18">
        <v>1</v>
      </c>
      <c r="E18">
        <v>2015</v>
      </c>
      <c r="F18">
        <v>2015</v>
      </c>
    </row>
    <row r="19" spans="1:6" x14ac:dyDescent="0.2">
      <c r="A19">
        <v>18</v>
      </c>
      <c r="B19" t="s">
        <v>18</v>
      </c>
      <c r="C19">
        <v>48</v>
      </c>
      <c r="D19">
        <v>2</v>
      </c>
      <c r="E19">
        <v>2014</v>
      </c>
      <c r="F19">
        <v>2015</v>
      </c>
    </row>
    <row r="20" spans="1:6" x14ac:dyDescent="0.2">
      <c r="A20">
        <v>19</v>
      </c>
      <c r="B20" t="s">
        <v>19</v>
      </c>
      <c r="C20">
        <v>89</v>
      </c>
      <c r="D20">
        <v>1</v>
      </c>
      <c r="E20">
        <v>2014</v>
      </c>
      <c r="F20">
        <v>2014</v>
      </c>
    </row>
    <row r="21" spans="1:6" x14ac:dyDescent="0.2">
      <c r="A21">
        <v>20</v>
      </c>
      <c r="B21" t="s">
        <v>20</v>
      </c>
      <c r="C21">
        <v>273</v>
      </c>
      <c r="D21">
        <v>2</v>
      </c>
      <c r="E21">
        <v>2014</v>
      </c>
      <c r="F21">
        <v>2015</v>
      </c>
    </row>
    <row r="22" spans="1:6" x14ac:dyDescent="0.2">
      <c r="A22">
        <v>21</v>
      </c>
      <c r="B22" t="s">
        <v>70</v>
      </c>
      <c r="C22">
        <v>19</v>
      </c>
      <c r="D22">
        <v>1</v>
      </c>
      <c r="E22">
        <v>2017</v>
      </c>
      <c r="F22">
        <v>2017</v>
      </c>
    </row>
    <row r="23" spans="1:6" x14ac:dyDescent="0.2">
      <c r="A23">
        <v>22</v>
      </c>
      <c r="B23" t="s">
        <v>21</v>
      </c>
      <c r="C23">
        <v>327</v>
      </c>
      <c r="D23">
        <v>2</v>
      </c>
      <c r="E23">
        <v>2015</v>
      </c>
      <c r="F23">
        <v>2016</v>
      </c>
    </row>
    <row r="24" spans="1:6" x14ac:dyDescent="0.2">
      <c r="A24">
        <v>23</v>
      </c>
      <c r="B24" t="s">
        <v>22</v>
      </c>
      <c r="C24">
        <v>1</v>
      </c>
      <c r="D24">
        <v>1</v>
      </c>
      <c r="E24">
        <v>2015</v>
      </c>
      <c r="F24">
        <v>2015</v>
      </c>
    </row>
    <row r="25" spans="1:6" x14ac:dyDescent="0.2">
      <c r="A25">
        <v>24</v>
      </c>
      <c r="B25" t="s">
        <v>71</v>
      </c>
      <c r="C25">
        <v>8</v>
      </c>
      <c r="D25">
        <v>1</v>
      </c>
      <c r="E25">
        <v>2015</v>
      </c>
      <c r="F25">
        <v>2015</v>
      </c>
    </row>
    <row r="26" spans="1:6" x14ac:dyDescent="0.2">
      <c r="A26">
        <v>25</v>
      </c>
      <c r="B26" t="s">
        <v>23</v>
      </c>
      <c r="C26">
        <v>27</v>
      </c>
      <c r="D26">
        <v>2</v>
      </c>
      <c r="E26">
        <v>2012</v>
      </c>
      <c r="F26">
        <v>2013</v>
      </c>
    </row>
    <row r="27" spans="1:6" x14ac:dyDescent="0.2">
      <c r="A27">
        <v>26</v>
      </c>
      <c r="B27" t="s">
        <v>24</v>
      </c>
      <c r="C27">
        <v>146</v>
      </c>
      <c r="D27">
        <v>7</v>
      </c>
      <c r="E27">
        <v>2017</v>
      </c>
      <c r="F27">
        <v>2023</v>
      </c>
    </row>
    <row r="28" spans="1:6" x14ac:dyDescent="0.2">
      <c r="A28">
        <v>27</v>
      </c>
      <c r="B28" t="s">
        <v>25</v>
      </c>
      <c r="C28">
        <v>293</v>
      </c>
      <c r="D28">
        <v>8</v>
      </c>
      <c r="E28">
        <v>2013</v>
      </c>
      <c r="F28">
        <v>2020</v>
      </c>
    </row>
    <row r="29" spans="1:6" x14ac:dyDescent="0.2">
      <c r="A29">
        <v>28</v>
      </c>
      <c r="B29" t="s">
        <v>26</v>
      </c>
      <c r="C29">
        <v>155</v>
      </c>
      <c r="D29">
        <v>10</v>
      </c>
      <c r="E29">
        <v>2014</v>
      </c>
      <c r="F29">
        <v>2023</v>
      </c>
    </row>
    <row r="30" spans="1:6" x14ac:dyDescent="0.2">
      <c r="A30">
        <v>29</v>
      </c>
      <c r="B30" t="s">
        <v>27</v>
      </c>
      <c r="C30">
        <v>1</v>
      </c>
      <c r="D30">
        <v>1</v>
      </c>
      <c r="E30">
        <v>2016</v>
      </c>
      <c r="F30">
        <v>2016</v>
      </c>
    </row>
    <row r="31" spans="1:6" x14ac:dyDescent="0.2">
      <c r="A31">
        <v>30</v>
      </c>
      <c r="B31" t="s">
        <v>28</v>
      </c>
      <c r="C31">
        <v>1</v>
      </c>
      <c r="D31">
        <v>1</v>
      </c>
      <c r="E31">
        <v>2015</v>
      </c>
      <c r="F31">
        <v>2015</v>
      </c>
    </row>
    <row r="32" spans="1:6" x14ac:dyDescent="0.2">
      <c r="A32">
        <v>31</v>
      </c>
      <c r="B32" t="s">
        <v>29</v>
      </c>
      <c r="C32">
        <v>73586</v>
      </c>
      <c r="D32">
        <v>13</v>
      </c>
      <c r="E32">
        <v>2011</v>
      </c>
      <c r="F32">
        <v>2023</v>
      </c>
    </row>
    <row r="33" spans="1:6" x14ac:dyDescent="0.2">
      <c r="A33">
        <v>32</v>
      </c>
      <c r="B33" t="s">
        <v>30</v>
      </c>
      <c r="C33">
        <v>159</v>
      </c>
      <c r="D33">
        <v>4</v>
      </c>
      <c r="E33">
        <v>2015</v>
      </c>
      <c r="F33">
        <v>2021</v>
      </c>
    </row>
    <row r="34" spans="1:6" x14ac:dyDescent="0.2">
      <c r="A34">
        <v>33</v>
      </c>
      <c r="B34" t="s">
        <v>31</v>
      </c>
      <c r="C34">
        <v>17</v>
      </c>
      <c r="D34">
        <v>3</v>
      </c>
      <c r="E34">
        <v>2014</v>
      </c>
      <c r="F34">
        <v>2017</v>
      </c>
    </row>
    <row r="35" spans="1:6" x14ac:dyDescent="0.2">
      <c r="A35">
        <v>34</v>
      </c>
      <c r="B35" t="s">
        <v>37</v>
      </c>
      <c r="C35">
        <v>715</v>
      </c>
      <c r="D35">
        <v>6</v>
      </c>
      <c r="E35">
        <v>2017</v>
      </c>
      <c r="F35">
        <v>2023</v>
      </c>
    </row>
    <row r="36" spans="1:6" x14ac:dyDescent="0.2">
      <c r="A36">
        <v>35</v>
      </c>
      <c r="B36" t="s">
        <v>32</v>
      </c>
      <c r="C36">
        <v>4</v>
      </c>
      <c r="D36">
        <v>1</v>
      </c>
      <c r="E36">
        <v>2013</v>
      </c>
      <c r="F36">
        <v>2013</v>
      </c>
    </row>
    <row r="37" spans="1:6" x14ac:dyDescent="0.2">
      <c r="A37">
        <v>36</v>
      </c>
      <c r="B37" t="s">
        <v>33</v>
      </c>
      <c r="C37">
        <v>6</v>
      </c>
      <c r="D37">
        <v>2</v>
      </c>
      <c r="E37">
        <v>2017</v>
      </c>
      <c r="F37">
        <v>2020</v>
      </c>
    </row>
    <row r="38" spans="1:6" x14ac:dyDescent="0.2">
      <c r="A38">
        <v>37</v>
      </c>
      <c r="B38" t="s">
        <v>34</v>
      </c>
      <c r="C38">
        <v>40</v>
      </c>
      <c r="D38">
        <v>2</v>
      </c>
      <c r="E38">
        <v>2014</v>
      </c>
      <c r="F38">
        <v>2015</v>
      </c>
    </row>
    <row r="39" spans="1:6" x14ac:dyDescent="0.2">
      <c r="A39">
        <v>38</v>
      </c>
      <c r="B39" t="s">
        <v>35</v>
      </c>
      <c r="C39">
        <v>500</v>
      </c>
      <c r="D39">
        <v>2</v>
      </c>
      <c r="E39">
        <v>2016</v>
      </c>
      <c r="F39">
        <v>2017</v>
      </c>
    </row>
    <row r="40" spans="1:6" x14ac:dyDescent="0.2">
      <c r="A40">
        <v>39</v>
      </c>
      <c r="B40" t="s">
        <v>36</v>
      </c>
      <c r="C40">
        <v>7</v>
      </c>
      <c r="D40">
        <v>5</v>
      </c>
      <c r="E40">
        <v>2014</v>
      </c>
      <c r="F40">
        <v>2020</v>
      </c>
    </row>
    <row r="41" spans="1:6" x14ac:dyDescent="0.2">
      <c r="A41">
        <v>40</v>
      </c>
      <c r="B41" t="s">
        <v>38</v>
      </c>
      <c r="C41">
        <v>16131</v>
      </c>
      <c r="D41">
        <v>11</v>
      </c>
      <c r="E41">
        <v>2013</v>
      </c>
      <c r="F41">
        <v>2023</v>
      </c>
    </row>
    <row r="42" spans="1:6" x14ac:dyDescent="0.2">
      <c r="A42">
        <v>41</v>
      </c>
      <c r="B42" t="s">
        <v>39</v>
      </c>
      <c r="C42">
        <v>1228</v>
      </c>
      <c r="D42">
        <v>2</v>
      </c>
      <c r="E42">
        <v>2013</v>
      </c>
      <c r="F42">
        <v>2014</v>
      </c>
    </row>
    <row r="43" spans="1:6" x14ac:dyDescent="0.2">
      <c r="A43">
        <v>42</v>
      </c>
      <c r="B43" t="s">
        <v>72</v>
      </c>
      <c r="C43">
        <v>45</v>
      </c>
      <c r="D43">
        <v>1</v>
      </c>
      <c r="E43">
        <v>2013</v>
      </c>
      <c r="F43">
        <v>2013</v>
      </c>
    </row>
    <row r="44" spans="1:6" x14ac:dyDescent="0.2">
      <c r="A44">
        <v>43</v>
      </c>
      <c r="B44" t="s">
        <v>41</v>
      </c>
      <c r="C44">
        <v>1516</v>
      </c>
      <c r="D44">
        <v>7</v>
      </c>
      <c r="E44">
        <v>2012</v>
      </c>
      <c r="F44">
        <v>2018</v>
      </c>
    </row>
    <row r="45" spans="1:6" x14ac:dyDescent="0.2">
      <c r="A45">
        <v>44</v>
      </c>
      <c r="B45" t="s">
        <v>40</v>
      </c>
      <c r="C45">
        <v>227</v>
      </c>
      <c r="D45">
        <v>2</v>
      </c>
      <c r="E45">
        <v>2013</v>
      </c>
      <c r="F45">
        <v>2014</v>
      </c>
    </row>
    <row r="46" spans="1:6" x14ac:dyDescent="0.2">
      <c r="A46">
        <v>45</v>
      </c>
      <c r="B46" t="s">
        <v>73</v>
      </c>
      <c r="C46">
        <v>136</v>
      </c>
      <c r="D46">
        <v>1</v>
      </c>
      <c r="E46">
        <v>2014</v>
      </c>
      <c r="F46">
        <v>2014</v>
      </c>
    </row>
    <row r="47" spans="1:6" x14ac:dyDescent="0.2">
      <c r="A47">
        <v>46</v>
      </c>
      <c r="B47" t="s">
        <v>74</v>
      </c>
      <c r="C47">
        <v>119</v>
      </c>
      <c r="D47">
        <v>3</v>
      </c>
      <c r="E47">
        <v>2015</v>
      </c>
      <c r="F47">
        <v>2017</v>
      </c>
    </row>
    <row r="48" spans="1:6" x14ac:dyDescent="0.2">
      <c r="A48">
        <v>47</v>
      </c>
      <c r="B48" t="s">
        <v>42</v>
      </c>
      <c r="C48">
        <v>17</v>
      </c>
      <c r="D48">
        <v>2</v>
      </c>
      <c r="E48">
        <v>2015</v>
      </c>
      <c r="F48">
        <v>2016</v>
      </c>
    </row>
    <row r="49" spans="1:6" x14ac:dyDescent="0.2">
      <c r="A49">
        <v>48</v>
      </c>
      <c r="B49" t="s">
        <v>75</v>
      </c>
      <c r="C49">
        <v>284</v>
      </c>
      <c r="D49">
        <v>1</v>
      </c>
      <c r="E49">
        <v>2018</v>
      </c>
      <c r="F49">
        <v>2018</v>
      </c>
    </row>
    <row r="50" spans="1:6" x14ac:dyDescent="0.2">
      <c r="A50">
        <v>49</v>
      </c>
      <c r="B50" t="s">
        <v>43</v>
      </c>
      <c r="C50">
        <v>5</v>
      </c>
      <c r="D50">
        <v>1</v>
      </c>
      <c r="E50">
        <v>2017</v>
      </c>
      <c r="F50">
        <v>2017</v>
      </c>
    </row>
    <row r="51" spans="1:6" x14ac:dyDescent="0.2">
      <c r="A51">
        <v>50</v>
      </c>
      <c r="B51" t="s">
        <v>44</v>
      </c>
      <c r="C51">
        <v>452</v>
      </c>
      <c r="D51">
        <v>4</v>
      </c>
      <c r="E51">
        <v>2015</v>
      </c>
      <c r="F51">
        <v>2018</v>
      </c>
    </row>
    <row r="52" spans="1:6" x14ac:dyDescent="0.2">
      <c r="A52">
        <v>51</v>
      </c>
      <c r="B52" t="s">
        <v>45</v>
      </c>
      <c r="C52">
        <v>8</v>
      </c>
      <c r="D52">
        <v>1</v>
      </c>
      <c r="E52">
        <v>2015</v>
      </c>
      <c r="F52">
        <v>2015</v>
      </c>
    </row>
    <row r="53" spans="1:6" x14ac:dyDescent="0.2">
      <c r="A53">
        <v>52</v>
      </c>
      <c r="B53" t="s">
        <v>76</v>
      </c>
      <c r="C53">
        <v>284</v>
      </c>
      <c r="D53">
        <v>1</v>
      </c>
      <c r="E53">
        <v>2018</v>
      </c>
      <c r="F53">
        <v>2018</v>
      </c>
    </row>
    <row r="54" spans="1:6" x14ac:dyDescent="0.2">
      <c r="A54">
        <v>53</v>
      </c>
      <c r="B54" t="s">
        <v>46</v>
      </c>
      <c r="C54">
        <v>231</v>
      </c>
      <c r="D54">
        <v>2</v>
      </c>
      <c r="E54">
        <v>2014</v>
      </c>
      <c r="F54">
        <v>2015</v>
      </c>
    </row>
    <row r="55" spans="1:6" x14ac:dyDescent="0.2">
      <c r="A55">
        <v>54</v>
      </c>
      <c r="B55" t="s">
        <v>77</v>
      </c>
      <c r="C55">
        <v>20</v>
      </c>
      <c r="D55">
        <v>1</v>
      </c>
      <c r="E55">
        <v>2013</v>
      </c>
      <c r="F55">
        <v>2013</v>
      </c>
    </row>
    <row r="56" spans="1:6" x14ac:dyDescent="0.2">
      <c r="A56">
        <v>55</v>
      </c>
      <c r="B56" t="s">
        <v>78</v>
      </c>
      <c r="C56">
        <v>110</v>
      </c>
      <c r="D56">
        <v>1</v>
      </c>
      <c r="E56">
        <v>2015</v>
      </c>
      <c r="F56">
        <v>2015</v>
      </c>
    </row>
    <row r="57" spans="1:6" x14ac:dyDescent="0.2">
      <c r="A57">
        <v>56</v>
      </c>
      <c r="B57" t="s">
        <v>79</v>
      </c>
      <c r="C57">
        <v>144</v>
      </c>
      <c r="D57">
        <v>1</v>
      </c>
      <c r="E57">
        <v>2014</v>
      </c>
      <c r="F57">
        <v>2014</v>
      </c>
    </row>
    <row r="58" spans="1:6" x14ac:dyDescent="0.2">
      <c r="A58">
        <v>57</v>
      </c>
      <c r="B58" t="s">
        <v>47</v>
      </c>
      <c r="C58">
        <v>40</v>
      </c>
      <c r="D58">
        <v>3</v>
      </c>
      <c r="E58">
        <v>2014</v>
      </c>
      <c r="F58">
        <v>2017</v>
      </c>
    </row>
    <row r="59" spans="1:6" x14ac:dyDescent="0.2">
      <c r="A59">
        <v>58</v>
      </c>
      <c r="B59" t="s">
        <v>80</v>
      </c>
      <c r="C59">
        <v>33</v>
      </c>
      <c r="D59">
        <v>1</v>
      </c>
      <c r="E59">
        <v>2014</v>
      </c>
      <c r="F59">
        <v>2014</v>
      </c>
    </row>
    <row r="60" spans="1:6" x14ac:dyDescent="0.2">
      <c r="A60">
        <v>59</v>
      </c>
      <c r="B60" t="s">
        <v>81</v>
      </c>
      <c r="C60">
        <v>138</v>
      </c>
      <c r="D60">
        <v>1</v>
      </c>
      <c r="E60">
        <v>2014</v>
      </c>
      <c r="F60">
        <v>2014</v>
      </c>
    </row>
    <row r="61" spans="1:6" x14ac:dyDescent="0.2">
      <c r="A61">
        <v>60</v>
      </c>
      <c r="B61" t="s">
        <v>82</v>
      </c>
      <c r="C61">
        <v>78</v>
      </c>
      <c r="D61">
        <v>2</v>
      </c>
      <c r="E61">
        <v>2014</v>
      </c>
      <c r="F61">
        <v>2017</v>
      </c>
    </row>
    <row r="62" spans="1:6" x14ac:dyDescent="0.2">
      <c r="A62">
        <v>61</v>
      </c>
      <c r="B62" t="s">
        <v>83</v>
      </c>
      <c r="C62">
        <v>206</v>
      </c>
      <c r="D62">
        <v>1</v>
      </c>
      <c r="E62">
        <v>2015</v>
      </c>
      <c r="F62">
        <v>2015</v>
      </c>
    </row>
    <row r="63" spans="1:6" x14ac:dyDescent="0.2">
      <c r="A63">
        <v>62</v>
      </c>
      <c r="B63" t="s">
        <v>84</v>
      </c>
      <c r="C63">
        <v>76</v>
      </c>
      <c r="D63">
        <v>1</v>
      </c>
      <c r="E63">
        <v>2014</v>
      </c>
      <c r="F63">
        <v>2014</v>
      </c>
    </row>
    <row r="64" spans="1:6" x14ac:dyDescent="0.2">
      <c r="A64">
        <v>63</v>
      </c>
      <c r="B64" t="s">
        <v>48</v>
      </c>
      <c r="C64">
        <v>59</v>
      </c>
      <c r="D64">
        <v>3</v>
      </c>
      <c r="E64">
        <v>2014</v>
      </c>
      <c r="F64">
        <v>2016</v>
      </c>
    </row>
    <row r="65" spans="1:6" x14ac:dyDescent="0.2">
      <c r="A65">
        <v>64</v>
      </c>
      <c r="B65" t="s">
        <v>85</v>
      </c>
      <c r="C65">
        <v>119</v>
      </c>
      <c r="D65">
        <v>3</v>
      </c>
      <c r="E65">
        <v>2015</v>
      </c>
      <c r="F65">
        <v>2017</v>
      </c>
    </row>
    <row r="66" spans="1:6" x14ac:dyDescent="0.2">
      <c r="A66">
        <v>65</v>
      </c>
      <c r="B66" t="s">
        <v>49</v>
      </c>
      <c r="C66">
        <v>432</v>
      </c>
      <c r="D66">
        <v>1</v>
      </c>
      <c r="E66">
        <v>2014</v>
      </c>
      <c r="F66">
        <v>2014</v>
      </c>
    </row>
    <row r="67" spans="1:6" x14ac:dyDescent="0.2">
      <c r="A67">
        <v>66</v>
      </c>
      <c r="B67" t="s">
        <v>53</v>
      </c>
      <c r="C67">
        <v>9</v>
      </c>
      <c r="D67">
        <v>2</v>
      </c>
      <c r="E67">
        <v>2016</v>
      </c>
      <c r="F67">
        <v>2017</v>
      </c>
    </row>
    <row r="68" spans="1:6" x14ac:dyDescent="0.2">
      <c r="A68">
        <v>67</v>
      </c>
      <c r="B68" t="s">
        <v>50</v>
      </c>
      <c r="C68">
        <v>208</v>
      </c>
      <c r="D68">
        <v>2</v>
      </c>
      <c r="E68">
        <v>2018</v>
      </c>
      <c r="F68">
        <v>2019</v>
      </c>
    </row>
    <row r="69" spans="1:6" x14ac:dyDescent="0.2">
      <c r="A69">
        <v>68</v>
      </c>
      <c r="B69" t="s">
        <v>51</v>
      </c>
      <c r="C69">
        <v>42</v>
      </c>
      <c r="D69">
        <v>2</v>
      </c>
      <c r="E69">
        <v>2013</v>
      </c>
      <c r="F69">
        <v>2014</v>
      </c>
    </row>
    <row r="70" spans="1:6" x14ac:dyDescent="0.2">
      <c r="A70">
        <v>69</v>
      </c>
      <c r="B70" t="s">
        <v>52</v>
      </c>
      <c r="C70">
        <v>172</v>
      </c>
      <c r="D70">
        <v>4</v>
      </c>
      <c r="E70">
        <v>2014</v>
      </c>
      <c r="F70">
        <v>2018</v>
      </c>
    </row>
    <row r="71" spans="1:6" x14ac:dyDescent="0.2">
      <c r="A71">
        <v>70</v>
      </c>
      <c r="B71" t="s">
        <v>86</v>
      </c>
      <c r="C71">
        <v>2</v>
      </c>
      <c r="D71">
        <v>1</v>
      </c>
      <c r="E71">
        <v>2014</v>
      </c>
      <c r="F71">
        <v>2014</v>
      </c>
    </row>
    <row r="72" spans="1:6" x14ac:dyDescent="0.2">
      <c r="A72">
        <v>71</v>
      </c>
      <c r="B72" t="s">
        <v>54</v>
      </c>
      <c r="C72">
        <v>1</v>
      </c>
      <c r="D72">
        <v>1</v>
      </c>
      <c r="E72">
        <v>2011</v>
      </c>
      <c r="F72">
        <v>2011</v>
      </c>
    </row>
    <row r="73" spans="1:6" x14ac:dyDescent="0.2">
      <c r="A73">
        <v>72</v>
      </c>
      <c r="B73" t="s">
        <v>55</v>
      </c>
      <c r="C73">
        <v>2</v>
      </c>
      <c r="D73">
        <v>2</v>
      </c>
      <c r="E73">
        <v>2019</v>
      </c>
      <c r="F73">
        <v>2020</v>
      </c>
    </row>
    <row r="74" spans="1:6" x14ac:dyDescent="0.2">
      <c r="A74">
        <v>73</v>
      </c>
      <c r="B74" t="s">
        <v>56</v>
      </c>
      <c r="C74">
        <v>2</v>
      </c>
      <c r="D74">
        <v>2</v>
      </c>
      <c r="E74">
        <v>2017</v>
      </c>
      <c r="F74">
        <v>2021</v>
      </c>
    </row>
    <row r="75" spans="1:6" x14ac:dyDescent="0.2">
      <c r="A75">
        <v>74</v>
      </c>
      <c r="B75" t="s">
        <v>57</v>
      </c>
      <c r="C75">
        <v>964</v>
      </c>
      <c r="D75">
        <v>5</v>
      </c>
      <c r="E75">
        <v>2011</v>
      </c>
      <c r="F75">
        <v>2015</v>
      </c>
    </row>
    <row r="76" spans="1:6" x14ac:dyDescent="0.2">
      <c r="A76">
        <v>75</v>
      </c>
      <c r="B76" t="s">
        <v>87</v>
      </c>
      <c r="C76">
        <v>266</v>
      </c>
      <c r="D76">
        <v>3</v>
      </c>
      <c r="E76">
        <v>2015</v>
      </c>
      <c r="F76">
        <v>2017</v>
      </c>
    </row>
    <row r="77" spans="1:6" x14ac:dyDescent="0.2">
      <c r="A77">
        <v>76</v>
      </c>
      <c r="B77" t="s">
        <v>58</v>
      </c>
      <c r="C77">
        <v>5231</v>
      </c>
      <c r="D77">
        <v>9</v>
      </c>
      <c r="E77">
        <v>2015</v>
      </c>
      <c r="F77">
        <v>2023</v>
      </c>
    </row>
    <row r="78" spans="1:6" x14ac:dyDescent="0.2">
      <c r="A78">
        <v>77</v>
      </c>
      <c r="B78" t="s">
        <v>59</v>
      </c>
      <c r="C78">
        <v>1060</v>
      </c>
      <c r="D78">
        <v>6</v>
      </c>
      <c r="E78">
        <v>2018</v>
      </c>
      <c r="F78">
        <v>2023</v>
      </c>
    </row>
    <row r="79" spans="1:6" x14ac:dyDescent="0.2">
      <c r="A79">
        <v>78</v>
      </c>
      <c r="B79" t="s">
        <v>61</v>
      </c>
      <c r="C79">
        <v>446</v>
      </c>
      <c r="D79">
        <v>2</v>
      </c>
      <c r="E79">
        <v>2013</v>
      </c>
      <c r="F79">
        <v>2014</v>
      </c>
    </row>
    <row r="80" spans="1:6" x14ac:dyDescent="0.2">
      <c r="A80">
        <v>79</v>
      </c>
      <c r="B80" t="s">
        <v>88</v>
      </c>
      <c r="C80">
        <v>5</v>
      </c>
      <c r="D80">
        <v>1</v>
      </c>
      <c r="E80">
        <v>2012</v>
      </c>
      <c r="F80">
        <v>2012</v>
      </c>
    </row>
    <row r="81" spans="1:6" x14ac:dyDescent="0.2">
      <c r="A81">
        <v>80</v>
      </c>
      <c r="B81" t="s">
        <v>89</v>
      </c>
      <c r="C81">
        <v>285</v>
      </c>
      <c r="D81">
        <v>2</v>
      </c>
      <c r="E81">
        <v>2016</v>
      </c>
      <c r="F81">
        <v>2018</v>
      </c>
    </row>
    <row r="82" spans="1:6" x14ac:dyDescent="0.2">
      <c r="A82">
        <v>81</v>
      </c>
      <c r="B82" t="s">
        <v>90</v>
      </c>
      <c r="C82">
        <v>97</v>
      </c>
      <c r="D82">
        <v>3</v>
      </c>
      <c r="E82">
        <v>2015</v>
      </c>
      <c r="F82">
        <v>2018</v>
      </c>
    </row>
    <row r="83" spans="1:6" x14ac:dyDescent="0.2">
      <c r="A83">
        <v>82</v>
      </c>
      <c r="B83" t="s">
        <v>91</v>
      </c>
      <c r="C83">
        <v>43</v>
      </c>
      <c r="D83">
        <v>2</v>
      </c>
      <c r="E83">
        <v>2016</v>
      </c>
      <c r="F83">
        <v>2017</v>
      </c>
    </row>
    <row r="84" spans="1:6" x14ac:dyDescent="0.2">
      <c r="A84">
        <v>83</v>
      </c>
      <c r="B84" t="s">
        <v>60</v>
      </c>
      <c r="C84">
        <v>524</v>
      </c>
      <c r="D84">
        <v>5</v>
      </c>
      <c r="E84">
        <v>2014</v>
      </c>
      <c r="F84">
        <v>2018</v>
      </c>
    </row>
    <row r="85" spans="1:6" x14ac:dyDescent="0.2">
      <c r="A85">
        <v>84</v>
      </c>
      <c r="B85" t="s">
        <v>62</v>
      </c>
      <c r="C85">
        <v>1</v>
      </c>
      <c r="D85">
        <v>1</v>
      </c>
      <c r="E85">
        <v>2011</v>
      </c>
      <c r="F85">
        <v>2011</v>
      </c>
    </row>
    <row r="86" spans="1:6" x14ac:dyDescent="0.2">
      <c r="A86">
        <v>85</v>
      </c>
      <c r="B86" t="s">
        <v>63</v>
      </c>
      <c r="C86">
        <v>57</v>
      </c>
      <c r="D86">
        <v>1</v>
      </c>
      <c r="E86">
        <v>2018</v>
      </c>
      <c r="F86">
        <v>2018</v>
      </c>
    </row>
    <row r="87" spans="1:6" x14ac:dyDescent="0.2">
      <c r="A87">
        <v>86</v>
      </c>
      <c r="B87" t="s">
        <v>65</v>
      </c>
      <c r="C87">
        <v>262</v>
      </c>
      <c r="D87">
        <v>1</v>
      </c>
      <c r="E87">
        <v>2018</v>
      </c>
      <c r="F87">
        <v>2018</v>
      </c>
    </row>
    <row r="88" spans="1:6" x14ac:dyDescent="0.2">
      <c r="A88">
        <v>87</v>
      </c>
      <c r="B88" t="s">
        <v>64</v>
      </c>
      <c r="C88">
        <v>65248</v>
      </c>
      <c r="D88">
        <v>13</v>
      </c>
      <c r="E88">
        <v>2011</v>
      </c>
      <c r="F88">
        <v>2023</v>
      </c>
    </row>
    <row r="89" spans="1:6" x14ac:dyDescent="0.2">
      <c r="A89">
        <v>88</v>
      </c>
      <c r="B89" t="s">
        <v>66</v>
      </c>
      <c r="C89">
        <v>18</v>
      </c>
      <c r="D89">
        <v>2</v>
      </c>
      <c r="E89">
        <v>2015</v>
      </c>
      <c r="F89">
        <v>2016</v>
      </c>
    </row>
    <row r="90" spans="1:6" x14ac:dyDescent="0.2">
      <c r="A90">
        <v>89</v>
      </c>
      <c r="B90" t="s">
        <v>67</v>
      </c>
      <c r="C90">
        <v>1</v>
      </c>
      <c r="D90">
        <v>1</v>
      </c>
      <c r="E90">
        <v>2018</v>
      </c>
      <c r="F90">
        <v>2018</v>
      </c>
    </row>
    <row r="91" spans="1:6" x14ac:dyDescent="0.2">
      <c r="A91">
        <v>90</v>
      </c>
      <c r="B91" t="s">
        <v>68</v>
      </c>
      <c r="C91">
        <v>7</v>
      </c>
      <c r="D91">
        <v>3</v>
      </c>
      <c r="E91">
        <v>2018</v>
      </c>
      <c r="F91">
        <v>2021</v>
      </c>
    </row>
    <row r="92" spans="1:6" x14ac:dyDescent="0.2">
      <c r="A92">
        <v>91</v>
      </c>
      <c r="B92" t="s">
        <v>92</v>
      </c>
      <c r="C92">
        <v>8</v>
      </c>
      <c r="D92">
        <v>1</v>
      </c>
      <c r="E92">
        <v>2015</v>
      </c>
      <c r="F92">
        <v>2015</v>
      </c>
    </row>
    <row r="93" spans="1:6" x14ac:dyDescent="0.2">
      <c r="A93">
        <v>92</v>
      </c>
      <c r="B93" t="s">
        <v>93</v>
      </c>
      <c r="C93">
        <v>20</v>
      </c>
      <c r="D93">
        <v>1</v>
      </c>
      <c r="E93">
        <v>2013</v>
      </c>
      <c r="F93">
        <v>2013</v>
      </c>
    </row>
    <row r="94" spans="1:6" x14ac:dyDescent="0.2">
      <c r="A94">
        <v>93</v>
      </c>
      <c r="B94" t="s">
        <v>7</v>
      </c>
      <c r="C94">
        <v>4</v>
      </c>
      <c r="D94">
        <v>1</v>
      </c>
      <c r="E94">
        <v>2020</v>
      </c>
      <c r="F94">
        <v>2020</v>
      </c>
    </row>
    <row r="95" spans="1:6" x14ac:dyDescent="0.2">
      <c r="A95">
        <v>94</v>
      </c>
      <c r="B95" t="s">
        <v>8</v>
      </c>
      <c r="C95">
        <v>136</v>
      </c>
      <c r="D95">
        <v>1</v>
      </c>
      <c r="E95">
        <v>2014</v>
      </c>
      <c r="F95">
        <v>2014</v>
      </c>
    </row>
    <row r="96" spans="1:6" x14ac:dyDescent="0.2">
      <c r="A96">
        <v>95</v>
      </c>
      <c r="B96" t="s">
        <v>9</v>
      </c>
      <c r="C96">
        <v>17</v>
      </c>
      <c r="D96">
        <v>3</v>
      </c>
      <c r="E96">
        <v>2014</v>
      </c>
      <c r="F96">
        <v>2017</v>
      </c>
    </row>
    <row r="97" spans="1:6" x14ac:dyDescent="0.2">
      <c r="A97">
        <v>96</v>
      </c>
      <c r="B97" t="s">
        <v>10</v>
      </c>
      <c r="C97">
        <v>125</v>
      </c>
      <c r="D97">
        <v>1</v>
      </c>
      <c r="E97">
        <v>2013</v>
      </c>
      <c r="F97">
        <v>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Colouring</vt:lpstr>
      <vt:lpstr>MAIN_merging</vt:lpstr>
      <vt:lpstr>original_data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Bielaková</dc:creator>
  <cp:lastModifiedBy>Tatiana Bielaková</cp:lastModifiedBy>
  <dcterms:created xsi:type="dcterms:W3CDTF">2024-09-03T21:46:28Z</dcterms:created>
  <dcterms:modified xsi:type="dcterms:W3CDTF">2026-02-11T14:37:30Z</dcterms:modified>
</cp:coreProperties>
</file>