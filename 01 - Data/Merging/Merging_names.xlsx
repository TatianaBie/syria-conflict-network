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bielakova/Dropbox/Syria Conflict Network/RA - Tatiana/01 - Data/Merging/"/>
    </mc:Choice>
  </mc:AlternateContent>
  <xr:revisionPtr revIDLastSave="0" documentId="13_ncr:1_{8CF1F66E-7C1F-D347-BC83-A12F90CC8BDE}" xr6:coauthVersionLast="47" xr6:coauthVersionMax="47" xr10:uidLastSave="{00000000-0000-0000-0000-000000000000}"/>
  <bookViews>
    <workbookView xWindow="4440" yWindow="760" windowWidth="24960" windowHeight="16920" xr2:uid="{73158B5D-0BA9-6245-A46F-195C97CE0AD9}"/>
  </bookViews>
  <sheets>
    <sheet name="Renaming" sheetId="1" r:id="rId1"/>
    <sheet name="all_names" sheetId="4" r:id="rId2"/>
    <sheet name="all_names-reasoning" sheetId="5" r:id="rId3"/>
    <sheet name="manual_ful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2" i="4"/>
</calcChain>
</file>

<file path=xl/sharedStrings.xml><?xml version="1.0" encoding="utf-8"?>
<sst xmlns="http://schemas.openxmlformats.org/spreadsheetml/2006/main" count="416" uniqueCount="115">
  <si>
    <t>Faylaq al-Rahman</t>
  </si>
  <si>
    <t>Jaysh al-Islam</t>
  </si>
  <si>
    <t>The Islamic State</t>
  </si>
  <si>
    <t>Al Qaeda</t>
  </si>
  <si>
    <t>Hezbollah</t>
  </si>
  <si>
    <t>Suqour al-Sham</t>
  </si>
  <si>
    <t>Free Syrian Army</t>
  </si>
  <si>
    <t>Hay'at Tahrir al-Sham (Formerly Jabhat al-Nusra)</t>
  </si>
  <si>
    <t>Jaysh al-Sanadeed</t>
  </si>
  <si>
    <t>Ahrar al-Sham</t>
  </si>
  <si>
    <t>The Southern Front </t>
  </si>
  <si>
    <t>Liwa al-Tawhid</t>
  </si>
  <si>
    <t>Kurdish Islamic Front</t>
  </si>
  <si>
    <t>Peoples Protection Units</t>
  </si>
  <si>
    <t>Harakat Nour al-Din al-Zenki</t>
  </si>
  <si>
    <t>The Levantine Front </t>
  </si>
  <si>
    <t>Umbrella</t>
  </si>
  <si>
    <t>x</t>
  </si>
  <si>
    <t>The Southern Front</t>
  </si>
  <si>
    <t>USA</t>
  </si>
  <si>
    <t>Jaysh al-Fatah</t>
  </si>
  <si>
    <t>HTS: Hayat Tahrir al-Sham</t>
  </si>
  <si>
    <t>Syrian Democratic Forces</t>
  </si>
  <si>
    <t>Military Forces of Syria</t>
  </si>
  <si>
    <t>Mujahideen Shura Council</t>
  </si>
  <si>
    <t>Jaish al-Muhajireen wal-Ansar</t>
  </si>
  <si>
    <t>Iran</t>
  </si>
  <si>
    <t>Aknaf Bait al-Maqdis</t>
  </si>
  <si>
    <t>Israel</t>
  </si>
  <si>
    <t>Turkey</t>
  </si>
  <si>
    <t>JTS: Syria Liberation Front</t>
  </si>
  <si>
    <t>The Levantine Front</t>
  </si>
  <si>
    <t>Sham Legion</t>
  </si>
  <si>
    <t>Iraq</t>
  </si>
  <si>
    <t>Authenticity and Development Front</t>
  </si>
  <si>
    <t>Mujahideen Army</t>
  </si>
  <si>
    <t>Primary Group</t>
  </si>
  <si>
    <t>Other Group</t>
  </si>
  <si>
    <t>Relationship</t>
  </si>
  <si>
    <t>allied_multi</t>
  </si>
  <si>
    <t>enemy_multi</t>
  </si>
  <si>
    <t>abam</t>
  </si>
  <si>
    <t>isis</t>
  </si>
  <si>
    <t>Enemy</t>
  </si>
  <si>
    <t>gcad</t>
  </si>
  <si>
    <t>usa</t>
  </si>
  <si>
    <t>Ally</t>
  </si>
  <si>
    <t>jor</t>
  </si>
  <si>
    <t>uk</t>
  </si>
  <si>
    <t>sau</t>
  </si>
  <si>
    <t>qat</t>
  </si>
  <si>
    <t>irq</t>
  </si>
  <si>
    <t>sdf</t>
  </si>
  <si>
    <t>mfs</t>
  </si>
  <si>
    <t>hts</t>
  </si>
  <si>
    <t>rus</t>
  </si>
  <si>
    <t>tur</t>
  </si>
  <si>
    <t>hxp</t>
  </si>
  <si>
    <t>opp</t>
  </si>
  <si>
    <t>jaa</t>
  </si>
  <si>
    <t>aas</t>
  </si>
  <si>
    <t>lf</t>
  </si>
  <si>
    <t>ira</t>
  </si>
  <si>
    <t>hez</t>
  </si>
  <si>
    <t>sl</t>
  </si>
  <si>
    <t>smm</t>
  </si>
  <si>
    <t>fsa</t>
  </si>
  <si>
    <t>sf</t>
  </si>
  <si>
    <t>pmf</t>
  </si>
  <si>
    <t>im</t>
  </si>
  <si>
    <t>Stanford_Name</t>
  </si>
  <si>
    <t>Al-Qaeda</t>
  </si>
  <si>
    <t>Al-Rahman Legion</t>
  </si>
  <si>
    <t>Al-Sanadid Forces</t>
  </si>
  <si>
    <t>Army of Mujahideen</t>
  </si>
  <si>
    <t>Islamic State of Iraq and the Levant</t>
  </si>
  <si>
    <t>Kurdish Front</t>
  </si>
  <si>
    <t>Levant Front</t>
  </si>
  <si>
    <t>Nour al-Din al-Zenki Movement</t>
  </si>
  <si>
    <t>People's Protection Units</t>
  </si>
  <si>
    <t>Russia</t>
  </si>
  <si>
    <t>Southern Front</t>
  </si>
  <si>
    <t>Suqour al-Sham Brigades</t>
  </si>
  <si>
    <t>Syria</t>
  </si>
  <si>
    <t>Syrian Liberation Front</t>
  </si>
  <si>
    <t>Tahrir al-Sham</t>
  </si>
  <si>
    <t>United States</t>
  </si>
  <si>
    <t>Wiki_Name</t>
  </si>
  <si>
    <t>ACLED_Name</t>
  </si>
  <si>
    <t>Manual_Name</t>
  </si>
  <si>
    <t>until 2018</t>
  </si>
  <si>
    <t>aq</t>
  </si>
  <si>
    <t>far</t>
  </si>
  <si>
    <t>isr</t>
  </si>
  <si>
    <t>jaf</t>
  </si>
  <si>
    <t>jai</t>
  </si>
  <si>
    <t>start</t>
  </si>
  <si>
    <t>end</t>
  </si>
  <si>
    <t>Jaysh al-Mujahedeen</t>
  </si>
  <si>
    <t>Al Akrad Front</t>
  </si>
  <si>
    <t>JaS: Al Sanadid Forces (Syria)</t>
  </si>
  <si>
    <t>UK</t>
  </si>
  <si>
    <t>Civilians</t>
  </si>
  <si>
    <t>Liwa al-Fateh</t>
  </si>
  <si>
    <t>Popular Mobilization Forces</t>
  </si>
  <si>
    <t>Syrian Insurgents</t>
  </si>
  <si>
    <t>Name</t>
  </si>
  <si>
    <t>unidentifiable</t>
  </si>
  <si>
    <t>by-product of merging with ACLED</t>
  </si>
  <si>
    <t>Aknaf Bait al Maqdis</t>
  </si>
  <si>
    <t>Liwa al-Muhajireen wal-Ansar</t>
  </si>
  <si>
    <t>Global Coalition Against Daesh</t>
  </si>
  <si>
    <t>Operation Peace Spring</t>
  </si>
  <si>
    <t>Khalid ibn al Walid Army</t>
  </si>
  <si>
    <t>pre-HTS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</si>
</sst>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theme="1"/>
      <name val="Arial Unicode MS"/>
      <family val="2"/>
    </font>
    <font>
      <b/>
      <sz val="12"/>
      <color theme="1"/>
      <name val="Aptos"/>
    </font>
    <font>
      <sz val="12"/>
      <color rgb="FF000000"/>
      <name val="Aptos"/>
    </font>
    <font>
      <sz val="12"/>
      <color theme="1"/>
      <name val="Aptos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5E6E-C87A-A74D-9BA0-FDFD3A90855E}">
  <dimension ref="A1:F38"/>
  <sheetViews>
    <sheetView tabSelected="1" topLeftCell="A16" workbookViewId="0">
      <selection activeCell="D38" sqref="D38"/>
    </sheetView>
  </sheetViews>
  <sheetFormatPr baseColWidth="10" defaultRowHeight="16" x14ac:dyDescent="0.2"/>
  <cols>
    <col min="1" max="1" width="37.6640625" customWidth="1"/>
    <col min="2" max="2" width="39.33203125" customWidth="1"/>
    <col min="3" max="3" width="32.1640625" customWidth="1"/>
    <col min="4" max="4" width="38.6640625" customWidth="1"/>
    <col min="5" max="5" width="39.83203125" customWidth="1"/>
  </cols>
  <sheetData>
    <row r="1" spans="1:6" x14ac:dyDescent="0.2">
      <c r="A1" s="6" t="s">
        <v>16</v>
      </c>
      <c r="B1" s="6" t="s">
        <v>70</v>
      </c>
      <c r="C1" s="6" t="s">
        <v>87</v>
      </c>
      <c r="D1" s="6" t="s">
        <v>88</v>
      </c>
      <c r="E1" s="6" t="s">
        <v>89</v>
      </c>
    </row>
    <row r="2" spans="1:6" x14ac:dyDescent="0.2">
      <c r="A2" s="4" t="s">
        <v>9</v>
      </c>
      <c r="B2" s="1" t="s">
        <v>9</v>
      </c>
      <c r="C2" s="5" t="s">
        <v>9</v>
      </c>
      <c r="D2" s="4" t="s">
        <v>9</v>
      </c>
      <c r="E2" s="5" t="s">
        <v>60</v>
      </c>
    </row>
    <row r="3" spans="1:6" x14ac:dyDescent="0.2">
      <c r="A3" s="5" t="s">
        <v>27</v>
      </c>
      <c r="B3" s="5"/>
      <c r="C3" s="5" t="s">
        <v>27</v>
      </c>
      <c r="D3" s="1" t="s">
        <v>109</v>
      </c>
      <c r="E3" s="5" t="s">
        <v>41</v>
      </c>
      <c r="F3" s="5"/>
    </row>
    <row r="4" spans="1:6" x14ac:dyDescent="0.2">
      <c r="A4" s="5" t="s">
        <v>3</v>
      </c>
      <c r="B4" s="1" t="s">
        <v>3</v>
      </c>
      <c r="C4" s="1" t="s">
        <v>71</v>
      </c>
      <c r="D4" s="5" t="s">
        <v>3</v>
      </c>
      <c r="E4" s="5" t="s">
        <v>91</v>
      </c>
    </row>
    <row r="5" spans="1:6" x14ac:dyDescent="0.2">
      <c r="A5" s="5" t="s">
        <v>34</v>
      </c>
      <c r="B5" s="5"/>
      <c r="C5" s="5" t="s">
        <v>34</v>
      </c>
      <c r="D5" s="5"/>
      <c r="E5" s="5"/>
    </row>
    <row r="6" spans="1:6" x14ac:dyDescent="0.2">
      <c r="A6" s="4" t="s">
        <v>0</v>
      </c>
      <c r="B6" s="1" t="s">
        <v>0</v>
      </c>
      <c r="C6" s="5" t="s">
        <v>72</v>
      </c>
      <c r="D6" s="4" t="s">
        <v>0</v>
      </c>
      <c r="E6" s="5" t="s">
        <v>92</v>
      </c>
    </row>
    <row r="7" spans="1:6" x14ac:dyDescent="0.2">
      <c r="A7" s="5" t="s">
        <v>6</v>
      </c>
      <c r="B7" s="1" t="s">
        <v>6</v>
      </c>
      <c r="C7" s="5" t="s">
        <v>6</v>
      </c>
      <c r="D7" s="5" t="s">
        <v>6</v>
      </c>
      <c r="E7" s="5" t="s">
        <v>66</v>
      </c>
    </row>
    <row r="8" spans="1:6" x14ac:dyDescent="0.2">
      <c r="A8" s="4" t="s">
        <v>14</v>
      </c>
      <c r="B8" s="1" t="s">
        <v>14</v>
      </c>
      <c r="C8" s="5" t="s">
        <v>78</v>
      </c>
      <c r="D8" s="4" t="s">
        <v>14</v>
      </c>
      <c r="E8" s="5"/>
    </row>
    <row r="9" spans="1:6" x14ac:dyDescent="0.2">
      <c r="A9" s="4" t="s">
        <v>4</v>
      </c>
      <c r="B9" s="1" t="s">
        <v>4</v>
      </c>
      <c r="C9" s="5" t="s">
        <v>4</v>
      </c>
      <c r="D9" s="4" t="s">
        <v>4</v>
      </c>
      <c r="E9" s="5" t="s">
        <v>63</v>
      </c>
    </row>
    <row r="10" spans="1:6" x14ac:dyDescent="0.2">
      <c r="A10" s="5" t="s">
        <v>21</v>
      </c>
      <c r="B10" s="1" t="s">
        <v>7</v>
      </c>
      <c r="C10" s="5" t="s">
        <v>85</v>
      </c>
      <c r="D10" s="5" t="s">
        <v>21</v>
      </c>
      <c r="E10" s="5" t="s">
        <v>54</v>
      </c>
    </row>
    <row r="11" spans="1:6" x14ac:dyDescent="0.2">
      <c r="A11" s="5" t="s">
        <v>26</v>
      </c>
      <c r="B11" s="5"/>
      <c r="C11" s="5" t="s">
        <v>26</v>
      </c>
      <c r="D11" s="4" t="s">
        <v>26</v>
      </c>
      <c r="E11" s="5" t="s">
        <v>62</v>
      </c>
      <c r="F11" s="5"/>
    </row>
    <row r="12" spans="1:6" x14ac:dyDescent="0.2">
      <c r="A12" s="5" t="s">
        <v>33</v>
      </c>
      <c r="B12" s="5"/>
      <c r="C12" s="5" t="s">
        <v>33</v>
      </c>
      <c r="D12" s="5" t="s">
        <v>33</v>
      </c>
      <c r="E12" s="5" t="s">
        <v>51</v>
      </c>
      <c r="F12" s="5"/>
    </row>
    <row r="13" spans="1:6" x14ac:dyDescent="0.2">
      <c r="A13" s="5" t="s">
        <v>28</v>
      </c>
      <c r="B13" s="5"/>
      <c r="C13" s="5" t="s">
        <v>28</v>
      </c>
      <c r="D13" s="5" t="s">
        <v>28</v>
      </c>
      <c r="E13" s="5" t="s">
        <v>93</v>
      </c>
      <c r="F13" s="5"/>
    </row>
    <row r="14" spans="1:6" x14ac:dyDescent="0.2">
      <c r="A14" s="5" t="s">
        <v>25</v>
      </c>
      <c r="B14" s="5"/>
      <c r="C14" s="1" t="s">
        <v>110</v>
      </c>
      <c r="D14" s="5"/>
      <c r="E14" s="5"/>
    </row>
    <row r="15" spans="1:6" x14ac:dyDescent="0.2">
      <c r="A15" s="5" t="s">
        <v>20</v>
      </c>
      <c r="B15" s="5"/>
      <c r="C15" s="5"/>
      <c r="D15" s="5" t="s">
        <v>20</v>
      </c>
      <c r="E15" s="5" t="s">
        <v>94</v>
      </c>
    </row>
    <row r="16" spans="1:6" x14ac:dyDescent="0.2">
      <c r="A16" s="4" t="s">
        <v>1</v>
      </c>
      <c r="B16" s="1" t="s">
        <v>1</v>
      </c>
      <c r="C16" s="5" t="s">
        <v>1</v>
      </c>
      <c r="D16" s="5" t="s">
        <v>1</v>
      </c>
      <c r="E16" s="5" t="s">
        <v>95</v>
      </c>
    </row>
    <row r="17" spans="1:6" x14ac:dyDescent="0.2">
      <c r="A17" s="4" t="s">
        <v>8</v>
      </c>
      <c r="B17" s="1" t="s">
        <v>8</v>
      </c>
      <c r="C17" s="1" t="s">
        <v>73</v>
      </c>
      <c r="D17" s="1" t="s">
        <v>100</v>
      </c>
      <c r="E17" s="5"/>
      <c r="F17" s="1"/>
    </row>
    <row r="18" spans="1:6" x14ac:dyDescent="0.2">
      <c r="A18" s="5" t="s">
        <v>30</v>
      </c>
      <c r="B18" s="5"/>
      <c r="C18" s="5" t="s">
        <v>84</v>
      </c>
      <c r="D18" s="5" t="s">
        <v>30</v>
      </c>
      <c r="E18" s="5"/>
    </row>
    <row r="19" spans="1:6" x14ac:dyDescent="0.2">
      <c r="A19" s="4" t="s">
        <v>12</v>
      </c>
      <c r="B19" s="4" t="s">
        <v>12</v>
      </c>
      <c r="C19" s="5"/>
      <c r="D19" s="5"/>
      <c r="E19" s="5"/>
    </row>
    <row r="20" spans="1:6" x14ac:dyDescent="0.2">
      <c r="A20" s="4" t="s">
        <v>11</v>
      </c>
      <c r="B20" s="1" t="s">
        <v>11</v>
      </c>
      <c r="C20" s="5"/>
      <c r="D20" s="1" t="s">
        <v>11</v>
      </c>
      <c r="E20" s="5"/>
    </row>
    <row r="21" spans="1:6" x14ac:dyDescent="0.2">
      <c r="A21" s="5" t="s">
        <v>23</v>
      </c>
      <c r="B21" s="5"/>
      <c r="C21" s="5" t="s">
        <v>83</v>
      </c>
      <c r="D21" s="4" t="s">
        <v>23</v>
      </c>
      <c r="E21" s="5" t="s">
        <v>53</v>
      </c>
      <c r="F21" s="5"/>
    </row>
    <row r="22" spans="1:6" x14ac:dyDescent="0.2">
      <c r="A22" s="5" t="s">
        <v>35</v>
      </c>
      <c r="B22" s="1" t="s">
        <v>98</v>
      </c>
      <c r="C22" s="5" t="s">
        <v>74</v>
      </c>
      <c r="D22" s="1" t="s">
        <v>35</v>
      </c>
      <c r="E22" s="5"/>
      <c r="F22" s="1"/>
    </row>
    <row r="23" spans="1:6" x14ac:dyDescent="0.2">
      <c r="A23" s="5" t="s">
        <v>24</v>
      </c>
      <c r="B23" s="5"/>
      <c r="C23" s="1" t="s">
        <v>24</v>
      </c>
      <c r="D23" s="5"/>
      <c r="E23" s="5"/>
    </row>
    <row r="24" spans="1:6" x14ac:dyDescent="0.2">
      <c r="A24" s="4" t="s">
        <v>13</v>
      </c>
      <c r="B24" s="1" t="s">
        <v>13</v>
      </c>
      <c r="C24" s="5" t="s">
        <v>79</v>
      </c>
      <c r="D24" s="4" t="s">
        <v>13</v>
      </c>
      <c r="E24" s="5" t="s">
        <v>68</v>
      </c>
    </row>
    <row r="25" spans="1:6" x14ac:dyDescent="0.2">
      <c r="A25" s="5" t="s">
        <v>32</v>
      </c>
      <c r="B25" s="5"/>
      <c r="C25" s="5" t="s">
        <v>32</v>
      </c>
      <c r="D25" s="5"/>
      <c r="E25" s="5" t="s">
        <v>64</v>
      </c>
      <c r="F25" s="5"/>
    </row>
    <row r="26" spans="1:6" x14ac:dyDescent="0.2">
      <c r="A26" s="4" t="s">
        <v>5</v>
      </c>
      <c r="B26" s="1" t="s">
        <v>5</v>
      </c>
      <c r="C26" s="5" t="s">
        <v>82</v>
      </c>
      <c r="D26" s="1"/>
      <c r="E26" s="5"/>
    </row>
    <row r="27" spans="1:6" x14ac:dyDescent="0.2">
      <c r="A27" s="5" t="s">
        <v>22</v>
      </c>
      <c r="B27" s="5"/>
      <c r="C27" s="5" t="s">
        <v>22</v>
      </c>
      <c r="D27" s="5" t="s">
        <v>22</v>
      </c>
      <c r="E27" s="5" t="s">
        <v>52</v>
      </c>
    </row>
    <row r="28" spans="1:6" x14ac:dyDescent="0.2">
      <c r="A28" s="5" t="s">
        <v>2</v>
      </c>
      <c r="B28" s="1" t="s">
        <v>2</v>
      </c>
      <c r="C28" s="5" t="s">
        <v>75</v>
      </c>
      <c r="D28" s="4" t="s">
        <v>2</v>
      </c>
      <c r="E28" s="5" t="s">
        <v>42</v>
      </c>
    </row>
    <row r="29" spans="1:6" x14ac:dyDescent="0.2">
      <c r="A29" s="5" t="s">
        <v>31</v>
      </c>
      <c r="B29" s="1" t="s">
        <v>15</v>
      </c>
      <c r="C29" s="5" t="s">
        <v>77</v>
      </c>
      <c r="D29" s="4" t="s">
        <v>31</v>
      </c>
      <c r="E29" s="5"/>
      <c r="F29" s="5"/>
    </row>
    <row r="30" spans="1:6" x14ac:dyDescent="0.2">
      <c r="A30" s="5" t="s">
        <v>18</v>
      </c>
      <c r="B30" s="1" t="s">
        <v>10</v>
      </c>
      <c r="C30" s="5" t="s">
        <v>81</v>
      </c>
      <c r="D30" s="4" t="s">
        <v>18</v>
      </c>
      <c r="E30" s="5" t="s">
        <v>67</v>
      </c>
    </row>
    <row r="31" spans="1:6" x14ac:dyDescent="0.2">
      <c r="A31" s="5" t="s">
        <v>29</v>
      </c>
      <c r="B31" s="5"/>
      <c r="C31" s="5" t="s">
        <v>29</v>
      </c>
      <c r="D31" s="4" t="s">
        <v>29</v>
      </c>
      <c r="E31" s="5" t="s">
        <v>56</v>
      </c>
    </row>
    <row r="32" spans="1:6" x14ac:dyDescent="0.2">
      <c r="A32" s="5" t="s">
        <v>19</v>
      </c>
      <c r="B32" s="5"/>
      <c r="C32" s="5" t="s">
        <v>86</v>
      </c>
      <c r="D32" s="4" t="s">
        <v>19</v>
      </c>
      <c r="E32" s="5" t="s">
        <v>45</v>
      </c>
    </row>
    <row r="33" spans="1:5" x14ac:dyDescent="0.2">
      <c r="A33" s="5" t="s">
        <v>80</v>
      </c>
      <c r="B33" s="5"/>
      <c r="C33" s="5" t="s">
        <v>80</v>
      </c>
      <c r="D33" s="4" t="s">
        <v>80</v>
      </c>
      <c r="E33" s="5" t="s">
        <v>55</v>
      </c>
    </row>
    <row r="34" spans="1:5" x14ac:dyDescent="0.2">
      <c r="A34" s="5" t="s">
        <v>76</v>
      </c>
      <c r="C34" s="1" t="s">
        <v>76</v>
      </c>
      <c r="D34" s="1" t="s">
        <v>99</v>
      </c>
    </row>
    <row r="35" spans="1:5" x14ac:dyDescent="0.2">
      <c r="A35" s="7" t="s">
        <v>111</v>
      </c>
      <c r="D35" s="7" t="s">
        <v>111</v>
      </c>
    </row>
    <row r="36" spans="1:5" x14ac:dyDescent="0.2">
      <c r="A36" s="7" t="s">
        <v>112</v>
      </c>
      <c r="D36" s="7" t="s">
        <v>112</v>
      </c>
    </row>
    <row r="37" spans="1:5" x14ac:dyDescent="0.2">
      <c r="A37" s="7" t="s">
        <v>113</v>
      </c>
      <c r="D37" s="1" t="s">
        <v>113</v>
      </c>
    </row>
    <row r="38" spans="1:5" x14ac:dyDescent="0.2">
      <c r="A38" s="7" t="s">
        <v>114</v>
      </c>
      <c r="D38" s="7" t="s">
        <v>114</v>
      </c>
    </row>
  </sheetData>
  <sortState xmlns:xlrd2="http://schemas.microsoft.com/office/spreadsheetml/2017/richdata2" ref="A2:C184">
    <sortCondition ref="A1:A1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298B-B431-E240-A256-5385A81881C1}">
  <dimension ref="A1:B40"/>
  <sheetViews>
    <sheetView workbookViewId="0">
      <selection activeCell="A38" sqref="A38:B38"/>
    </sheetView>
  </sheetViews>
  <sheetFormatPr baseColWidth="10" defaultRowHeight="16" x14ac:dyDescent="0.2"/>
  <cols>
    <col min="1" max="1" width="31.5" customWidth="1"/>
  </cols>
  <sheetData>
    <row r="1" spans="1:2" x14ac:dyDescent="0.2">
      <c r="A1" t="s">
        <v>106</v>
      </c>
    </row>
    <row r="2" spans="1:2" x14ac:dyDescent="0.2">
      <c r="A2" t="s">
        <v>9</v>
      </c>
      <c r="B2" t="str">
        <f>_xlfn.XLOOKUP(A2,Renaming!A:A,Renaming!A:A,,)</f>
        <v>Ahrar al-Sham</v>
      </c>
    </row>
    <row r="3" spans="1:2" x14ac:dyDescent="0.2">
      <c r="A3" t="s">
        <v>27</v>
      </c>
      <c r="B3" t="str">
        <f>_xlfn.XLOOKUP(A3,Renaming!A:A,Renaming!A:A,,)</f>
        <v>Aknaf Bait al-Maqdis</v>
      </c>
    </row>
    <row r="4" spans="1:2" x14ac:dyDescent="0.2">
      <c r="A4" t="s">
        <v>3</v>
      </c>
      <c r="B4" t="str">
        <f>_xlfn.XLOOKUP(A4,Renaming!A:A,Renaming!A:A,,)</f>
        <v>Al Qaeda</v>
      </c>
    </row>
    <row r="5" spans="1:2" x14ac:dyDescent="0.2">
      <c r="A5" t="s">
        <v>34</v>
      </c>
      <c r="B5" t="str">
        <f>_xlfn.XLOOKUP(A5,Renaming!A:A,Renaming!A:A,,)</f>
        <v>Authenticity and Development Front</v>
      </c>
    </row>
    <row r="6" spans="1:2" x14ac:dyDescent="0.2">
      <c r="A6" t="s">
        <v>102</v>
      </c>
      <c r="B6" t="e">
        <f>_xlfn.XLOOKUP(A6,Renaming!A:A,Renaming!A:A,,)</f>
        <v>#N/A</v>
      </c>
    </row>
    <row r="7" spans="1:2" x14ac:dyDescent="0.2">
      <c r="A7" t="s">
        <v>0</v>
      </c>
      <c r="B7" t="str">
        <f>_xlfn.XLOOKUP(A7,Renaming!A:A,Renaming!A:A,,)</f>
        <v>Faylaq al-Rahman</v>
      </c>
    </row>
    <row r="8" spans="1:2" x14ac:dyDescent="0.2">
      <c r="A8" t="s">
        <v>6</v>
      </c>
      <c r="B8" t="str">
        <f>_xlfn.XLOOKUP(A8,Renaming!A:A,Renaming!A:A,,)</f>
        <v>Free Syrian Army</v>
      </c>
    </row>
    <row r="9" spans="1:2" x14ac:dyDescent="0.2">
      <c r="A9" t="s">
        <v>21</v>
      </c>
      <c r="B9" t="str">
        <f>_xlfn.XLOOKUP(A9,Renaming!A:A,Renaming!A:A,,)</f>
        <v>HTS: Hayat Tahrir al-Sham</v>
      </c>
    </row>
    <row r="10" spans="1:2" x14ac:dyDescent="0.2">
      <c r="A10" t="s">
        <v>14</v>
      </c>
      <c r="B10" t="str">
        <f>_xlfn.XLOOKUP(A10,Renaming!A:A,Renaming!A:A,,)</f>
        <v>Harakat Nour al-Din al-Zenki</v>
      </c>
    </row>
    <row r="11" spans="1:2" x14ac:dyDescent="0.2">
      <c r="A11" t="s">
        <v>4</v>
      </c>
      <c r="B11" t="str">
        <f>_xlfn.XLOOKUP(A11,Renaming!A:A,Renaming!A:A,,)</f>
        <v>Hezbollah</v>
      </c>
    </row>
    <row r="12" spans="1:2" x14ac:dyDescent="0.2">
      <c r="A12" t="s">
        <v>26</v>
      </c>
      <c r="B12" t="str">
        <f>_xlfn.XLOOKUP(A12,Renaming!A:A,Renaming!A:A,,)</f>
        <v>Iran</v>
      </c>
    </row>
    <row r="13" spans="1:2" x14ac:dyDescent="0.2">
      <c r="A13" t="s">
        <v>33</v>
      </c>
      <c r="B13" t="str">
        <f>_xlfn.XLOOKUP(A13,Renaming!A:A,Renaming!A:A,,)</f>
        <v>Iraq</v>
      </c>
    </row>
    <row r="14" spans="1:2" x14ac:dyDescent="0.2">
      <c r="A14" t="s">
        <v>28</v>
      </c>
      <c r="B14" t="str">
        <f>_xlfn.XLOOKUP(A14,Renaming!A:A,Renaming!A:A,,)</f>
        <v>Israel</v>
      </c>
    </row>
    <row r="15" spans="1:2" x14ac:dyDescent="0.2">
      <c r="A15" t="s">
        <v>30</v>
      </c>
      <c r="B15" t="str">
        <f>_xlfn.XLOOKUP(A15,Renaming!A:A,Renaming!A:A,,)</f>
        <v>JTS: Syria Liberation Front</v>
      </c>
    </row>
    <row r="16" spans="1:2" x14ac:dyDescent="0.2">
      <c r="A16" t="s">
        <v>25</v>
      </c>
      <c r="B16" t="str">
        <f>_xlfn.XLOOKUP(A16,Renaming!A:A,Renaming!A:A,,)</f>
        <v>Jaish al-Muhajireen wal-Ansar</v>
      </c>
    </row>
    <row r="17" spans="1:2" x14ac:dyDescent="0.2">
      <c r="A17" t="s">
        <v>20</v>
      </c>
      <c r="B17" t="str">
        <f>_xlfn.XLOOKUP(A17,Renaming!A:A,Renaming!A:A,,)</f>
        <v>Jaysh al-Fatah</v>
      </c>
    </row>
    <row r="18" spans="1:2" x14ac:dyDescent="0.2">
      <c r="A18" t="s">
        <v>1</v>
      </c>
      <c r="B18" t="str">
        <f>_xlfn.XLOOKUP(A18,Renaming!A:A,Renaming!A:A,,)</f>
        <v>Jaysh al-Islam</v>
      </c>
    </row>
    <row r="19" spans="1:2" x14ac:dyDescent="0.2">
      <c r="A19" t="s">
        <v>8</v>
      </c>
      <c r="B19" t="str">
        <f>_xlfn.XLOOKUP(A19,Renaming!A:A,Renaming!A:A,,)</f>
        <v>Jaysh al-Sanadeed</v>
      </c>
    </row>
    <row r="20" spans="1:2" x14ac:dyDescent="0.2">
      <c r="A20" t="s">
        <v>76</v>
      </c>
      <c r="B20" t="str">
        <f>_xlfn.XLOOKUP(A20,Renaming!A:A,Renaming!A:A,,)</f>
        <v>Kurdish Front</v>
      </c>
    </row>
    <row r="21" spans="1:2" x14ac:dyDescent="0.2">
      <c r="A21" t="s">
        <v>12</v>
      </c>
      <c r="B21" t="str">
        <f>_xlfn.XLOOKUP(A21,Renaming!A:A,Renaming!A:A,,)</f>
        <v>Kurdish Islamic Front</v>
      </c>
    </row>
    <row r="22" spans="1:2" x14ac:dyDescent="0.2">
      <c r="A22" t="s">
        <v>103</v>
      </c>
      <c r="B22" t="e">
        <f>_xlfn.XLOOKUP(A22,Renaming!A:A,Renaming!A:A,,)</f>
        <v>#N/A</v>
      </c>
    </row>
    <row r="23" spans="1:2" x14ac:dyDescent="0.2">
      <c r="A23" t="s">
        <v>11</v>
      </c>
      <c r="B23" t="str">
        <f>_xlfn.XLOOKUP(A23,Renaming!A:A,Renaming!A:A,,)</f>
        <v>Liwa al-Tawhid</v>
      </c>
    </row>
    <row r="24" spans="1:2" x14ac:dyDescent="0.2">
      <c r="A24" t="s">
        <v>23</v>
      </c>
      <c r="B24" t="str">
        <f>_xlfn.XLOOKUP(A24,Renaming!A:A,Renaming!A:A,,)</f>
        <v>Military Forces of Syria</v>
      </c>
    </row>
    <row r="25" spans="1:2" x14ac:dyDescent="0.2">
      <c r="A25" t="s">
        <v>35</v>
      </c>
      <c r="B25" t="str">
        <f>_xlfn.XLOOKUP(A25,Renaming!A:A,Renaming!A:A,,)</f>
        <v>Mujahideen Army</v>
      </c>
    </row>
    <row r="26" spans="1:2" x14ac:dyDescent="0.2">
      <c r="A26" t="s">
        <v>24</v>
      </c>
      <c r="B26" t="str">
        <f>_xlfn.XLOOKUP(A26,Renaming!A:A,Renaming!A:A,,)</f>
        <v>Mujahideen Shura Council</v>
      </c>
    </row>
    <row r="27" spans="1:2" x14ac:dyDescent="0.2">
      <c r="A27" t="s">
        <v>13</v>
      </c>
      <c r="B27" t="str">
        <f>_xlfn.XLOOKUP(A27,Renaming!A:A,Renaming!A:A,,)</f>
        <v>Peoples Protection Units</v>
      </c>
    </row>
    <row r="28" spans="1:2" x14ac:dyDescent="0.2">
      <c r="A28" t="s">
        <v>104</v>
      </c>
      <c r="B28" t="e">
        <f>_xlfn.XLOOKUP(A28,Renaming!A:A,Renaming!A:A,,)</f>
        <v>#N/A</v>
      </c>
    </row>
    <row r="29" spans="1:2" x14ac:dyDescent="0.2">
      <c r="A29" t="s">
        <v>80</v>
      </c>
      <c r="B29" t="str">
        <f>_xlfn.XLOOKUP(A29,Renaming!A:A,Renaming!A:A,,)</f>
        <v>Russia</v>
      </c>
    </row>
    <row r="30" spans="1:2" x14ac:dyDescent="0.2">
      <c r="A30" t="s">
        <v>32</v>
      </c>
      <c r="B30" t="str">
        <f>_xlfn.XLOOKUP(A30,Renaming!A:A,Renaming!A:A,,)</f>
        <v>Sham Legion</v>
      </c>
    </row>
    <row r="31" spans="1:2" x14ac:dyDescent="0.2">
      <c r="A31" t="s">
        <v>5</v>
      </c>
      <c r="B31" t="str">
        <f>_xlfn.XLOOKUP(A31,Renaming!A:A,Renaming!A:A,,)</f>
        <v>Suqour al-Sham</v>
      </c>
    </row>
    <row r="32" spans="1:2" x14ac:dyDescent="0.2">
      <c r="A32" t="s">
        <v>22</v>
      </c>
      <c r="B32" t="str">
        <f>_xlfn.XLOOKUP(A32,Renaming!A:A,Renaming!A:A,,)</f>
        <v>Syrian Democratic Forces</v>
      </c>
    </row>
    <row r="33" spans="1:2" x14ac:dyDescent="0.2">
      <c r="A33" t="s">
        <v>105</v>
      </c>
      <c r="B33" t="e">
        <f>_xlfn.XLOOKUP(A33,Renaming!A:A,Renaming!A:A,,)</f>
        <v>#N/A</v>
      </c>
    </row>
    <row r="34" spans="1:2" x14ac:dyDescent="0.2">
      <c r="A34" t="s">
        <v>2</v>
      </c>
      <c r="B34" t="str">
        <f>_xlfn.XLOOKUP(A34,Renaming!A:A,Renaming!A:A,,)</f>
        <v>The Islamic State</v>
      </c>
    </row>
    <row r="35" spans="1:2" x14ac:dyDescent="0.2">
      <c r="A35" t="s">
        <v>31</v>
      </c>
      <c r="B35" t="str">
        <f>_xlfn.XLOOKUP(A35,Renaming!A:A,Renaming!A:A,,)</f>
        <v>The Levantine Front</v>
      </c>
    </row>
    <row r="36" spans="1:2" x14ac:dyDescent="0.2">
      <c r="A36" t="s">
        <v>18</v>
      </c>
      <c r="B36" t="str">
        <f>_xlfn.XLOOKUP(A36,Renaming!A:A,Renaming!A:A,,)</f>
        <v>The Southern Front</v>
      </c>
    </row>
    <row r="37" spans="1:2" x14ac:dyDescent="0.2">
      <c r="A37" t="s">
        <v>29</v>
      </c>
      <c r="B37" t="str">
        <f>_xlfn.XLOOKUP(A37,Renaming!A:A,Renaming!A:A,,)</f>
        <v>Turkey</v>
      </c>
    </row>
    <row r="38" spans="1:2" x14ac:dyDescent="0.2">
      <c r="A38" t="s">
        <v>101</v>
      </c>
      <c r="B38" t="e">
        <f>_xlfn.XLOOKUP(A38,Renaming!A:A,Renaming!A:A,,)</f>
        <v>#N/A</v>
      </c>
    </row>
    <row r="39" spans="1:2" x14ac:dyDescent="0.2">
      <c r="A39" t="s">
        <v>19</v>
      </c>
      <c r="B39" t="str">
        <f>_xlfn.XLOOKUP(A39,Renaming!A:A,Renaming!A:A,,)</f>
        <v>USA</v>
      </c>
    </row>
    <row r="40" spans="1:2" x14ac:dyDescent="0.2">
      <c r="A40" t="s">
        <v>17</v>
      </c>
      <c r="B40" t="e">
        <f>_xlfn.XLOOKUP(A40,Renaming!A:A,Renaming!A:A,,)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5C55-90A9-DA4E-9EE6-4931489EC213}">
  <dimension ref="A1:B6"/>
  <sheetViews>
    <sheetView workbookViewId="0">
      <selection activeCell="B10" sqref="B10"/>
    </sheetView>
  </sheetViews>
  <sheetFormatPr baseColWidth="10" defaultRowHeight="16" x14ac:dyDescent="0.2"/>
  <cols>
    <col min="1" max="1" width="26.33203125" customWidth="1"/>
  </cols>
  <sheetData>
    <row r="1" spans="1:2" x14ac:dyDescent="0.2">
      <c r="A1" t="s">
        <v>102</v>
      </c>
      <c r="B1" t="s">
        <v>107</v>
      </c>
    </row>
    <row r="2" spans="1:2" x14ac:dyDescent="0.2">
      <c r="A2" t="s">
        <v>103</v>
      </c>
      <c r="B2" t="s">
        <v>108</v>
      </c>
    </row>
    <row r="3" spans="1:2" x14ac:dyDescent="0.2">
      <c r="A3" t="s">
        <v>104</v>
      </c>
      <c r="B3" t="s">
        <v>108</v>
      </c>
    </row>
    <row r="4" spans="1:2" x14ac:dyDescent="0.2">
      <c r="A4" t="s">
        <v>105</v>
      </c>
      <c r="B4" t="s">
        <v>107</v>
      </c>
    </row>
    <row r="5" spans="1:2" x14ac:dyDescent="0.2">
      <c r="A5" t="s">
        <v>101</v>
      </c>
      <c r="B5" t="s">
        <v>108</v>
      </c>
    </row>
    <row r="6" spans="1:2" x14ac:dyDescent="0.2">
      <c r="A6" t="s">
        <v>17</v>
      </c>
      <c r="B6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85F4-5DD2-F645-A54A-1EE145F4A376}">
  <dimension ref="A1:G60"/>
  <sheetViews>
    <sheetView zoomScale="82" workbookViewId="0">
      <selection activeCell="C19" sqref="C19"/>
    </sheetView>
  </sheetViews>
  <sheetFormatPr baseColWidth="10" defaultRowHeight="16" x14ac:dyDescent="0.2"/>
  <cols>
    <col min="1" max="1" width="16.1640625" customWidth="1"/>
    <col min="2" max="2" width="13.5" customWidth="1"/>
    <col min="3" max="3" width="21.83203125" customWidth="1"/>
    <col min="5" max="5" width="15" customWidth="1"/>
  </cols>
  <sheetData>
    <row r="1" spans="1:7" ht="17" x14ac:dyDescent="0.25">
      <c r="A1" s="2" t="s">
        <v>36</v>
      </c>
      <c r="B1" s="2" t="s">
        <v>37</v>
      </c>
      <c r="C1" s="2" t="s">
        <v>38</v>
      </c>
      <c r="D1" s="3" t="s">
        <v>39</v>
      </c>
      <c r="E1" s="3" t="s">
        <v>40</v>
      </c>
      <c r="F1" s="2" t="s">
        <v>96</v>
      </c>
      <c r="G1" s="2" t="s">
        <v>97</v>
      </c>
    </row>
    <row r="2" spans="1:7" x14ac:dyDescent="0.2">
      <c r="A2" t="s">
        <v>41</v>
      </c>
      <c r="B2" t="s">
        <v>42</v>
      </c>
      <c r="C2" t="s">
        <v>43</v>
      </c>
      <c r="D2">
        <v>0</v>
      </c>
      <c r="E2">
        <v>1</v>
      </c>
      <c r="F2">
        <v>2015</v>
      </c>
    </row>
    <row r="3" spans="1:7" x14ac:dyDescent="0.2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17</v>
      </c>
    </row>
    <row r="4" spans="1:7" x14ac:dyDescent="0.2">
      <c r="A4" t="s">
        <v>44</v>
      </c>
      <c r="B4" t="s">
        <v>47</v>
      </c>
      <c r="C4" t="s">
        <v>46</v>
      </c>
      <c r="D4">
        <v>1</v>
      </c>
      <c r="E4">
        <v>0</v>
      </c>
      <c r="F4" t="s">
        <v>17</v>
      </c>
    </row>
    <row r="5" spans="1:7" x14ac:dyDescent="0.2">
      <c r="A5" t="s">
        <v>44</v>
      </c>
      <c r="B5" t="s">
        <v>48</v>
      </c>
      <c r="C5" t="s">
        <v>46</v>
      </c>
      <c r="D5">
        <v>1</v>
      </c>
      <c r="E5">
        <v>0</v>
      </c>
      <c r="F5" t="s">
        <v>17</v>
      </c>
    </row>
    <row r="6" spans="1:7" x14ac:dyDescent="0.2">
      <c r="A6" t="s">
        <v>44</v>
      </c>
      <c r="B6" t="s">
        <v>49</v>
      </c>
      <c r="C6" t="s">
        <v>46</v>
      </c>
      <c r="D6">
        <v>1</v>
      </c>
      <c r="E6">
        <v>0</v>
      </c>
      <c r="F6" t="s">
        <v>17</v>
      </c>
    </row>
    <row r="7" spans="1:7" x14ac:dyDescent="0.2">
      <c r="A7" t="s">
        <v>44</v>
      </c>
      <c r="B7" t="s">
        <v>50</v>
      </c>
      <c r="C7" t="s">
        <v>46</v>
      </c>
      <c r="D7">
        <v>1</v>
      </c>
      <c r="E7">
        <v>0</v>
      </c>
      <c r="F7" t="s">
        <v>17</v>
      </c>
    </row>
    <row r="8" spans="1:7" x14ac:dyDescent="0.2">
      <c r="A8" t="s">
        <v>44</v>
      </c>
      <c r="B8" t="s">
        <v>51</v>
      </c>
      <c r="C8" t="s">
        <v>46</v>
      </c>
      <c r="D8">
        <v>1</v>
      </c>
      <c r="E8">
        <v>0</v>
      </c>
      <c r="F8" t="s">
        <v>17</v>
      </c>
    </row>
    <row r="9" spans="1:7" x14ac:dyDescent="0.2">
      <c r="A9" t="s">
        <v>44</v>
      </c>
      <c r="B9" t="s">
        <v>52</v>
      </c>
      <c r="C9" t="s">
        <v>46</v>
      </c>
      <c r="D9">
        <v>1</v>
      </c>
      <c r="E9">
        <v>0</v>
      </c>
      <c r="F9" t="s">
        <v>17</v>
      </c>
    </row>
    <row r="10" spans="1:7" x14ac:dyDescent="0.2">
      <c r="A10" t="s">
        <v>44</v>
      </c>
      <c r="B10" t="s">
        <v>42</v>
      </c>
      <c r="C10" t="s">
        <v>43</v>
      </c>
      <c r="D10">
        <v>0</v>
      </c>
      <c r="E10">
        <v>1</v>
      </c>
      <c r="F10" t="s">
        <v>17</v>
      </c>
    </row>
    <row r="11" spans="1:7" x14ac:dyDescent="0.2">
      <c r="A11" t="s">
        <v>44</v>
      </c>
      <c r="B11" t="s">
        <v>53</v>
      </c>
      <c r="C11" t="s">
        <v>43</v>
      </c>
      <c r="D11">
        <v>0</v>
      </c>
      <c r="E11">
        <v>1</v>
      </c>
      <c r="F11" t="s">
        <v>17</v>
      </c>
    </row>
    <row r="12" spans="1:7" x14ac:dyDescent="0.2">
      <c r="A12" t="s">
        <v>54</v>
      </c>
      <c r="B12" t="s">
        <v>55</v>
      </c>
      <c r="C12" t="s">
        <v>43</v>
      </c>
      <c r="D12">
        <v>0</v>
      </c>
      <c r="E12">
        <v>1</v>
      </c>
      <c r="F12">
        <v>2017</v>
      </c>
    </row>
    <row r="13" spans="1:7" x14ac:dyDescent="0.2">
      <c r="A13" t="s">
        <v>54</v>
      </c>
      <c r="B13" t="s">
        <v>56</v>
      </c>
      <c r="C13" t="s">
        <v>43</v>
      </c>
      <c r="D13">
        <v>0</v>
      </c>
      <c r="E13">
        <v>1</v>
      </c>
      <c r="F13">
        <v>2017</v>
      </c>
    </row>
    <row r="14" spans="1:7" x14ac:dyDescent="0.2">
      <c r="A14" t="s">
        <v>57</v>
      </c>
      <c r="B14" t="s">
        <v>52</v>
      </c>
      <c r="C14" t="s">
        <v>46</v>
      </c>
      <c r="D14">
        <v>1</v>
      </c>
      <c r="E14">
        <v>0</v>
      </c>
      <c r="F14" t="s">
        <v>17</v>
      </c>
    </row>
    <row r="15" spans="1:7" x14ac:dyDescent="0.2">
      <c r="A15" t="s">
        <v>57</v>
      </c>
      <c r="B15" t="s">
        <v>56</v>
      </c>
      <c r="C15" t="s">
        <v>43</v>
      </c>
      <c r="D15">
        <v>0</v>
      </c>
      <c r="E15">
        <v>1</v>
      </c>
      <c r="F15" t="s">
        <v>17</v>
      </c>
    </row>
    <row r="16" spans="1:7" x14ac:dyDescent="0.2">
      <c r="A16" t="s">
        <v>57</v>
      </c>
      <c r="B16" t="s">
        <v>53</v>
      </c>
      <c r="C16" t="s">
        <v>43</v>
      </c>
      <c r="D16">
        <v>0</v>
      </c>
      <c r="E16">
        <v>1</v>
      </c>
      <c r="F16" t="s">
        <v>17</v>
      </c>
    </row>
    <row r="17" spans="1:7" x14ac:dyDescent="0.2">
      <c r="A17" t="s">
        <v>57</v>
      </c>
      <c r="B17" t="s">
        <v>58</v>
      </c>
      <c r="C17" t="s">
        <v>43</v>
      </c>
      <c r="D17">
        <v>0</v>
      </c>
      <c r="E17">
        <v>1</v>
      </c>
      <c r="F17" t="s">
        <v>17</v>
      </c>
    </row>
    <row r="18" spans="1:7" x14ac:dyDescent="0.2">
      <c r="A18" t="s">
        <v>59</v>
      </c>
      <c r="B18" t="s">
        <v>60</v>
      </c>
      <c r="C18" t="s">
        <v>46</v>
      </c>
      <c r="D18">
        <v>1</v>
      </c>
      <c r="E18">
        <v>0</v>
      </c>
      <c r="F18" t="s">
        <v>17</v>
      </c>
    </row>
    <row r="19" spans="1:7" x14ac:dyDescent="0.2">
      <c r="A19" t="s">
        <v>59</v>
      </c>
      <c r="B19" t="s">
        <v>53</v>
      </c>
      <c r="C19" t="s">
        <v>43</v>
      </c>
      <c r="D19">
        <v>0</v>
      </c>
      <c r="E19">
        <v>1</v>
      </c>
      <c r="F19" t="s">
        <v>17</v>
      </c>
    </row>
    <row r="20" spans="1:7" x14ac:dyDescent="0.2">
      <c r="A20" t="s">
        <v>61</v>
      </c>
      <c r="B20" t="s">
        <v>53</v>
      </c>
      <c r="C20" t="s">
        <v>46</v>
      </c>
      <c r="D20">
        <v>1</v>
      </c>
      <c r="E20">
        <v>0</v>
      </c>
      <c r="F20" t="s">
        <v>17</v>
      </c>
    </row>
    <row r="21" spans="1:7" x14ac:dyDescent="0.2">
      <c r="A21" t="s">
        <v>61</v>
      </c>
      <c r="B21" t="s">
        <v>62</v>
      </c>
      <c r="C21" t="s">
        <v>46</v>
      </c>
      <c r="D21">
        <v>1</v>
      </c>
      <c r="E21">
        <v>0</v>
      </c>
      <c r="F21" t="s">
        <v>17</v>
      </c>
    </row>
    <row r="22" spans="1:7" x14ac:dyDescent="0.2">
      <c r="A22" t="s">
        <v>61</v>
      </c>
      <c r="B22" t="s">
        <v>63</v>
      </c>
      <c r="C22" t="s">
        <v>46</v>
      </c>
      <c r="D22">
        <v>1</v>
      </c>
      <c r="E22">
        <v>0</v>
      </c>
      <c r="F22" t="s">
        <v>17</v>
      </c>
    </row>
    <row r="23" spans="1:7" x14ac:dyDescent="0.2">
      <c r="A23" t="s">
        <v>61</v>
      </c>
      <c r="B23" t="s">
        <v>42</v>
      </c>
      <c r="C23" t="s">
        <v>43</v>
      </c>
      <c r="D23">
        <v>0</v>
      </c>
      <c r="E23">
        <v>1</v>
      </c>
      <c r="F23" t="s">
        <v>17</v>
      </c>
    </row>
    <row r="24" spans="1:7" x14ac:dyDescent="0.2">
      <c r="A24" t="s">
        <v>64</v>
      </c>
      <c r="B24" t="s">
        <v>53</v>
      </c>
      <c r="C24" t="s">
        <v>43</v>
      </c>
      <c r="D24">
        <v>0</v>
      </c>
      <c r="E24">
        <v>1</v>
      </c>
      <c r="F24">
        <v>2014</v>
      </c>
    </row>
    <row r="25" spans="1:7" x14ac:dyDescent="0.2">
      <c r="A25" t="s">
        <v>65</v>
      </c>
      <c r="B25" t="s">
        <v>53</v>
      </c>
      <c r="C25" t="s">
        <v>46</v>
      </c>
      <c r="D25">
        <v>1</v>
      </c>
      <c r="E25">
        <v>0</v>
      </c>
      <c r="F25" t="s">
        <v>17</v>
      </c>
    </row>
    <row r="26" spans="1:7" x14ac:dyDescent="0.2">
      <c r="A26" t="s">
        <v>65</v>
      </c>
      <c r="B26" t="s">
        <v>58</v>
      </c>
      <c r="C26" t="s">
        <v>43</v>
      </c>
      <c r="D26">
        <v>0</v>
      </c>
      <c r="E26">
        <v>1</v>
      </c>
      <c r="F26" t="s">
        <v>17</v>
      </c>
    </row>
    <row r="27" spans="1:7" x14ac:dyDescent="0.2">
      <c r="A27" t="s">
        <v>66</v>
      </c>
      <c r="B27" t="s">
        <v>56</v>
      </c>
      <c r="C27" t="s">
        <v>46</v>
      </c>
      <c r="D27">
        <v>1</v>
      </c>
      <c r="E27">
        <v>0</v>
      </c>
      <c r="F27">
        <v>2011</v>
      </c>
    </row>
    <row r="28" spans="1:7" x14ac:dyDescent="0.2">
      <c r="A28" t="s">
        <v>66</v>
      </c>
      <c r="B28" t="s">
        <v>52</v>
      </c>
      <c r="C28" t="s">
        <v>43</v>
      </c>
      <c r="D28">
        <v>0</v>
      </c>
      <c r="E28">
        <v>1</v>
      </c>
      <c r="F28">
        <v>2011</v>
      </c>
    </row>
    <row r="29" spans="1:7" x14ac:dyDescent="0.2">
      <c r="A29" t="s">
        <v>67</v>
      </c>
      <c r="B29" t="s">
        <v>44</v>
      </c>
      <c r="C29" t="s">
        <v>46</v>
      </c>
      <c r="D29">
        <v>1</v>
      </c>
      <c r="E29">
        <v>0</v>
      </c>
      <c r="F29" t="s">
        <v>17</v>
      </c>
    </row>
    <row r="30" spans="1:7" x14ac:dyDescent="0.2">
      <c r="A30" t="s">
        <v>67</v>
      </c>
      <c r="B30" t="s">
        <v>45</v>
      </c>
      <c r="C30" t="s">
        <v>46</v>
      </c>
      <c r="D30">
        <v>1</v>
      </c>
      <c r="E30">
        <v>0</v>
      </c>
      <c r="F30">
        <v>2014</v>
      </c>
      <c r="G30" t="s">
        <v>90</v>
      </c>
    </row>
    <row r="31" spans="1:7" x14ac:dyDescent="0.2">
      <c r="A31" t="s">
        <v>60</v>
      </c>
      <c r="B31" t="s">
        <v>59</v>
      </c>
      <c r="C31" t="s">
        <v>46</v>
      </c>
      <c r="D31">
        <v>1</v>
      </c>
      <c r="E31">
        <v>0</v>
      </c>
      <c r="F31">
        <v>2011</v>
      </c>
    </row>
    <row r="32" spans="1:7" x14ac:dyDescent="0.2">
      <c r="A32" t="s">
        <v>60</v>
      </c>
      <c r="B32" t="s">
        <v>66</v>
      </c>
      <c r="C32" t="s">
        <v>46</v>
      </c>
      <c r="D32">
        <v>1</v>
      </c>
      <c r="E32">
        <v>0</v>
      </c>
      <c r="F32">
        <v>2011</v>
      </c>
    </row>
    <row r="33" spans="1:6" x14ac:dyDescent="0.2">
      <c r="A33" t="s">
        <v>60</v>
      </c>
      <c r="B33" t="s">
        <v>56</v>
      </c>
      <c r="C33" t="s">
        <v>46</v>
      </c>
      <c r="D33">
        <v>1</v>
      </c>
      <c r="E33">
        <v>0</v>
      </c>
      <c r="F33">
        <v>2011</v>
      </c>
    </row>
    <row r="34" spans="1:6" x14ac:dyDescent="0.2">
      <c r="A34" t="s">
        <v>60</v>
      </c>
      <c r="B34" t="s">
        <v>50</v>
      </c>
      <c r="C34" t="s">
        <v>46</v>
      </c>
      <c r="D34">
        <v>1</v>
      </c>
      <c r="E34">
        <v>0</v>
      </c>
      <c r="F34">
        <v>2011</v>
      </c>
    </row>
    <row r="35" spans="1:6" x14ac:dyDescent="0.2">
      <c r="A35" t="s">
        <v>60</v>
      </c>
      <c r="B35" t="s">
        <v>55</v>
      </c>
      <c r="C35" t="s">
        <v>43</v>
      </c>
      <c r="D35">
        <v>0</v>
      </c>
      <c r="E35">
        <v>1</v>
      </c>
      <c r="F35">
        <v>2011</v>
      </c>
    </row>
    <row r="36" spans="1:6" x14ac:dyDescent="0.2">
      <c r="A36" t="s">
        <v>52</v>
      </c>
      <c r="B36" t="s">
        <v>45</v>
      </c>
      <c r="C36" t="s">
        <v>46</v>
      </c>
      <c r="D36">
        <v>1</v>
      </c>
      <c r="E36">
        <v>0</v>
      </c>
      <c r="F36">
        <v>2015</v>
      </c>
    </row>
    <row r="37" spans="1:6" x14ac:dyDescent="0.2">
      <c r="A37" t="s">
        <v>52</v>
      </c>
      <c r="B37" t="s">
        <v>44</v>
      </c>
      <c r="C37" t="s">
        <v>46</v>
      </c>
      <c r="D37">
        <v>1</v>
      </c>
      <c r="E37">
        <v>0</v>
      </c>
      <c r="F37" t="s">
        <v>17</v>
      </c>
    </row>
    <row r="38" spans="1:6" x14ac:dyDescent="0.2">
      <c r="A38" t="s">
        <v>52</v>
      </c>
      <c r="B38" t="s">
        <v>57</v>
      </c>
      <c r="C38" t="s">
        <v>46</v>
      </c>
      <c r="D38">
        <v>1</v>
      </c>
      <c r="E38">
        <v>0</v>
      </c>
      <c r="F38" t="s">
        <v>17</v>
      </c>
    </row>
    <row r="39" spans="1:6" x14ac:dyDescent="0.2">
      <c r="A39" t="s">
        <v>52</v>
      </c>
      <c r="B39" t="s">
        <v>53</v>
      </c>
      <c r="C39" t="s">
        <v>43</v>
      </c>
      <c r="D39">
        <v>0</v>
      </c>
      <c r="E39">
        <v>1</v>
      </c>
      <c r="F39">
        <v>2015</v>
      </c>
    </row>
    <row r="40" spans="1:6" x14ac:dyDescent="0.2">
      <c r="A40" t="s">
        <v>52</v>
      </c>
      <c r="B40" t="s">
        <v>42</v>
      </c>
      <c r="C40" t="s">
        <v>43</v>
      </c>
      <c r="D40">
        <v>0</v>
      </c>
      <c r="E40">
        <v>1</v>
      </c>
      <c r="F40">
        <v>2015</v>
      </c>
    </row>
    <row r="41" spans="1:6" x14ac:dyDescent="0.2">
      <c r="A41" t="s">
        <v>53</v>
      </c>
      <c r="B41" t="s">
        <v>61</v>
      </c>
      <c r="C41" t="s">
        <v>46</v>
      </c>
      <c r="D41">
        <v>1</v>
      </c>
      <c r="E41">
        <v>0</v>
      </c>
      <c r="F41" t="s">
        <v>17</v>
      </c>
    </row>
    <row r="42" spans="1:6" x14ac:dyDescent="0.2">
      <c r="A42" t="s">
        <v>53</v>
      </c>
      <c r="B42" t="s">
        <v>65</v>
      </c>
      <c r="C42" t="s">
        <v>46</v>
      </c>
      <c r="D42">
        <v>1</v>
      </c>
      <c r="E42">
        <v>0</v>
      </c>
      <c r="F42" t="s">
        <v>17</v>
      </c>
    </row>
    <row r="43" spans="1:6" x14ac:dyDescent="0.2">
      <c r="A43" t="s">
        <v>53</v>
      </c>
      <c r="B43" t="s">
        <v>62</v>
      </c>
      <c r="C43" t="s">
        <v>46</v>
      </c>
      <c r="D43">
        <v>1</v>
      </c>
      <c r="E43">
        <v>0</v>
      </c>
      <c r="F43">
        <v>2011</v>
      </c>
    </row>
    <row r="44" spans="1:6" x14ac:dyDescent="0.2">
      <c r="A44" t="s">
        <v>53</v>
      </c>
      <c r="B44" t="s">
        <v>55</v>
      </c>
      <c r="C44" t="s">
        <v>46</v>
      </c>
      <c r="D44">
        <v>1</v>
      </c>
      <c r="E44">
        <v>0</v>
      </c>
      <c r="F44">
        <v>2011</v>
      </c>
    </row>
    <row r="45" spans="1:6" x14ac:dyDescent="0.2">
      <c r="A45" t="s">
        <v>53</v>
      </c>
      <c r="B45" t="s">
        <v>63</v>
      </c>
      <c r="C45" t="s">
        <v>46</v>
      </c>
      <c r="D45">
        <v>1</v>
      </c>
      <c r="E45">
        <v>0</v>
      </c>
      <c r="F45">
        <v>2011</v>
      </c>
    </row>
    <row r="46" spans="1:6" x14ac:dyDescent="0.2">
      <c r="A46" t="s">
        <v>53</v>
      </c>
      <c r="B46" t="s">
        <v>68</v>
      </c>
      <c r="C46" t="s">
        <v>46</v>
      </c>
      <c r="D46">
        <v>1</v>
      </c>
      <c r="E46">
        <v>0</v>
      </c>
      <c r="F46" t="s">
        <v>17</v>
      </c>
    </row>
    <row r="47" spans="1:6" x14ac:dyDescent="0.2">
      <c r="A47" t="s">
        <v>53</v>
      </c>
      <c r="B47" t="s">
        <v>44</v>
      </c>
      <c r="C47" t="s">
        <v>43</v>
      </c>
      <c r="D47">
        <v>0</v>
      </c>
      <c r="E47">
        <v>1</v>
      </c>
      <c r="F47" t="s">
        <v>17</v>
      </c>
    </row>
    <row r="48" spans="1:6" x14ac:dyDescent="0.2">
      <c r="A48" t="s">
        <v>53</v>
      </c>
      <c r="B48" t="s">
        <v>69</v>
      </c>
      <c r="C48" t="s">
        <v>43</v>
      </c>
      <c r="D48">
        <v>0</v>
      </c>
      <c r="E48">
        <v>1</v>
      </c>
      <c r="F48" t="s">
        <v>17</v>
      </c>
    </row>
    <row r="49" spans="1:6" x14ac:dyDescent="0.2">
      <c r="A49" t="s">
        <v>53</v>
      </c>
      <c r="B49" t="s">
        <v>58</v>
      </c>
      <c r="C49" t="s">
        <v>43</v>
      </c>
      <c r="D49">
        <v>0</v>
      </c>
      <c r="E49">
        <v>1</v>
      </c>
      <c r="F49" t="s">
        <v>17</v>
      </c>
    </row>
    <row r="50" spans="1:6" x14ac:dyDescent="0.2">
      <c r="A50" t="s">
        <v>53</v>
      </c>
      <c r="B50" t="s">
        <v>42</v>
      </c>
      <c r="C50" t="s">
        <v>43</v>
      </c>
      <c r="D50">
        <v>0</v>
      </c>
      <c r="E50">
        <v>1</v>
      </c>
      <c r="F50">
        <v>2011</v>
      </c>
    </row>
    <row r="51" spans="1:6" x14ac:dyDescent="0.2">
      <c r="A51" t="s">
        <v>53</v>
      </c>
      <c r="B51" t="s">
        <v>45</v>
      </c>
      <c r="C51" t="s">
        <v>43</v>
      </c>
      <c r="D51">
        <v>0</v>
      </c>
      <c r="E51">
        <v>1</v>
      </c>
      <c r="F51">
        <v>2011</v>
      </c>
    </row>
    <row r="52" spans="1:6" x14ac:dyDescent="0.2">
      <c r="A52" t="s">
        <v>53</v>
      </c>
      <c r="B52" t="s">
        <v>49</v>
      </c>
      <c r="C52" t="s">
        <v>43</v>
      </c>
      <c r="D52">
        <v>0</v>
      </c>
      <c r="E52">
        <v>1</v>
      </c>
      <c r="F52" t="s">
        <v>17</v>
      </c>
    </row>
    <row r="53" spans="1:6" x14ac:dyDescent="0.2">
      <c r="A53" t="s">
        <v>53</v>
      </c>
      <c r="B53" t="s">
        <v>56</v>
      </c>
      <c r="C53" t="s">
        <v>43</v>
      </c>
      <c r="D53">
        <v>0</v>
      </c>
      <c r="E53">
        <v>1</v>
      </c>
      <c r="F53">
        <v>2011</v>
      </c>
    </row>
    <row r="54" spans="1:6" x14ac:dyDescent="0.2">
      <c r="A54" t="s">
        <v>68</v>
      </c>
      <c r="B54" t="s">
        <v>61</v>
      </c>
      <c r="C54" t="s">
        <v>46</v>
      </c>
      <c r="D54">
        <v>1</v>
      </c>
      <c r="E54">
        <v>0</v>
      </c>
      <c r="F54" t="s">
        <v>17</v>
      </c>
    </row>
    <row r="55" spans="1:6" x14ac:dyDescent="0.2">
      <c r="A55" t="s">
        <v>68</v>
      </c>
      <c r="B55" t="s">
        <v>65</v>
      </c>
      <c r="C55" t="s">
        <v>46</v>
      </c>
      <c r="D55">
        <v>1</v>
      </c>
      <c r="E55">
        <v>0</v>
      </c>
      <c r="F55" t="s">
        <v>17</v>
      </c>
    </row>
    <row r="56" spans="1:6" x14ac:dyDescent="0.2">
      <c r="A56" t="s">
        <v>68</v>
      </c>
      <c r="B56" t="s">
        <v>62</v>
      </c>
      <c r="C56" t="s">
        <v>46</v>
      </c>
      <c r="D56">
        <v>1</v>
      </c>
      <c r="E56">
        <v>0</v>
      </c>
      <c r="F56" t="s">
        <v>17</v>
      </c>
    </row>
    <row r="57" spans="1:6" x14ac:dyDescent="0.2">
      <c r="A57" t="s">
        <v>68</v>
      </c>
      <c r="B57" t="s">
        <v>55</v>
      </c>
      <c r="C57" t="s">
        <v>46</v>
      </c>
      <c r="D57">
        <v>1</v>
      </c>
      <c r="E57">
        <v>0</v>
      </c>
      <c r="F57" t="s">
        <v>17</v>
      </c>
    </row>
    <row r="58" spans="1:6" x14ac:dyDescent="0.2">
      <c r="A58" t="s">
        <v>68</v>
      </c>
      <c r="B58" t="s">
        <v>63</v>
      </c>
      <c r="C58" t="s">
        <v>46</v>
      </c>
      <c r="D58">
        <v>1</v>
      </c>
      <c r="E58">
        <v>0</v>
      </c>
      <c r="F58" t="s">
        <v>17</v>
      </c>
    </row>
    <row r="59" spans="1:6" x14ac:dyDescent="0.2">
      <c r="A59" t="s">
        <v>68</v>
      </c>
      <c r="B59" t="s">
        <v>42</v>
      </c>
      <c r="C59" t="s">
        <v>43</v>
      </c>
      <c r="D59">
        <v>0</v>
      </c>
      <c r="E59">
        <v>1</v>
      </c>
      <c r="F59" t="s">
        <v>17</v>
      </c>
    </row>
    <row r="60" spans="1:6" x14ac:dyDescent="0.2">
      <c r="A60" t="s">
        <v>58</v>
      </c>
      <c r="B60" t="s">
        <v>53</v>
      </c>
      <c r="C60" t="s">
        <v>43</v>
      </c>
      <c r="D60">
        <v>0</v>
      </c>
      <c r="E60">
        <v>1</v>
      </c>
      <c r="F6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Renaming</vt:lpstr>
      <vt:lpstr>all_names</vt:lpstr>
      <vt:lpstr>all_names-reasoning</vt:lpstr>
      <vt:lpstr>manual_full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Bielaková</dc:creator>
  <cp:lastModifiedBy>Tatiana Bielaková</cp:lastModifiedBy>
  <dcterms:created xsi:type="dcterms:W3CDTF">2024-11-04T09:48:34Z</dcterms:created>
  <dcterms:modified xsi:type="dcterms:W3CDTF">2026-06-08T08:27:58Z</dcterms:modified>
</cp:coreProperties>
</file>